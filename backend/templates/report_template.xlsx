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Scripts\Dev\12.compactDocu\backend\templates\"/>
    </mc:Choice>
  </mc:AlternateContent>
  <xr:revisionPtr revIDLastSave="0" documentId="8_{9EE9D370-4D07-4967-A6A6-A2010894CB5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부산물 페기물 처리현황" sheetId="4" r:id="rId1"/>
    <sheet name="그래프" sheetId="6" r:id="rId2"/>
  </sheets>
  <definedNames>
    <definedName name="PE_SCRAP">#REF!</definedName>
    <definedName name="PE_파렛트">#REF!</definedName>
    <definedName name="PP_파렛트">#REF!</definedName>
    <definedName name="_xlnm.Print_Area" localSheetId="1">그래프!$DV$48:$DV$53</definedName>
    <definedName name="_xlnm.Print_Area" localSheetId="0">'부산물 페기물 처리현황'!$A$1:$W$82</definedName>
    <definedName name="고철_일시">#REF!</definedName>
    <definedName name="고철_정기">#REF!</definedName>
    <definedName name="공드럼_100L">#REF!</definedName>
    <definedName name="공드럼_200L">#REF!</definedName>
    <definedName name="공드럼_50L">#REF!</definedName>
    <definedName name="공드럼_PP">#REF!</definedName>
    <definedName name="레진백">#REF!</definedName>
    <definedName name="생활계페기물">#REF!</definedName>
    <definedName name="알루미늄">#REF!</definedName>
    <definedName name="연료화폐기물">#REF!</definedName>
    <definedName name="열매체유">#REF!</definedName>
    <definedName name="일반파지">#REF!</definedName>
    <definedName name="타포린_SCRAP">#REF!</definedName>
    <definedName name="폐말통">#REF!</definedName>
    <definedName name="폐목재">#REF!</definedName>
    <definedName name="폐비닐">#REF!</definedName>
    <definedName name="폐소화기">#REF!</definedName>
    <definedName name="폐유기용제_고상">#REF!</definedName>
    <definedName name="폐유기용제_액상">#REF!</definedName>
    <definedName name="폐절연유">#REF!</definedName>
    <definedName name="폐졸">#REF!</definedName>
    <definedName name="폐형광등">#REF!</definedName>
    <definedName name="품목">#REF!</definedName>
    <definedName name="합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4" l="1"/>
  <c r="L52" i="4"/>
  <c r="DM17" i="6" l="1"/>
  <c r="CZ21" i="6"/>
  <c r="CY21" i="6"/>
  <c r="CX21" i="6"/>
  <c r="CX28" i="6" s="1"/>
  <c r="CW21" i="6"/>
  <c r="CW28" i="6" s="1"/>
  <c r="CV21" i="6"/>
  <c r="CV28" i="6" s="1"/>
  <c r="CU21" i="6"/>
  <c r="CU28" i="6" s="1"/>
  <c r="CT21" i="6"/>
  <c r="CT28" i="6" s="1"/>
  <c r="CS21" i="6"/>
  <c r="CS28" i="6" s="1"/>
  <c r="CR21" i="6"/>
  <c r="CR28" i="6" s="1"/>
  <c r="CQ21" i="6"/>
  <c r="CQ28" i="6" s="1"/>
  <c r="CP21" i="6"/>
  <c r="CP28" i="6" s="1"/>
  <c r="CO21" i="6"/>
  <c r="DP21" i="6" s="1"/>
  <c r="DK28" i="6"/>
  <c r="DJ28" i="6"/>
  <c r="CZ28" i="6"/>
  <c r="CM28" i="6"/>
  <c r="CL28" i="6"/>
  <c r="CK28" i="6"/>
  <c r="CJ28" i="6"/>
  <c r="CH28" i="6"/>
  <c r="CG28" i="6"/>
  <c r="CF28" i="6"/>
  <c r="CE28" i="6"/>
  <c r="CD28" i="6"/>
  <c r="CB28" i="6"/>
  <c r="BZ28" i="6"/>
  <c r="BY28" i="6"/>
  <c r="BV28" i="6"/>
  <c r="BU28" i="6"/>
  <c r="BT28" i="6"/>
  <c r="BP28" i="6"/>
  <c r="BO28" i="6"/>
  <c r="BN28" i="6"/>
  <c r="BM28" i="6"/>
  <c r="BL28" i="6"/>
  <c r="BK28" i="6"/>
  <c r="BJ28" i="6"/>
  <c r="BI28" i="6"/>
  <c r="BH28" i="6"/>
  <c r="BG28" i="6"/>
  <c r="BF28" i="6"/>
  <c r="BD28" i="6"/>
  <c r="BC28" i="6"/>
  <c r="BB28" i="6"/>
  <c r="BA28" i="6"/>
  <c r="AZ28" i="6"/>
  <c r="AX28" i="6"/>
  <c r="AW28" i="6"/>
  <c r="AV28" i="6"/>
  <c r="AU28" i="6"/>
  <c r="AT28" i="6"/>
  <c r="AS28" i="6"/>
  <c r="AR28" i="6"/>
  <c r="AQ28" i="6"/>
  <c r="AP28" i="6"/>
  <c r="AO28" i="6"/>
  <c r="AK28" i="6"/>
  <c r="AJ28" i="6"/>
  <c r="AI28" i="6"/>
  <c r="AG28" i="6"/>
  <c r="AE28" i="6"/>
  <c r="AA28" i="6"/>
  <c r="Z28" i="6"/>
  <c r="Y28" i="6"/>
  <c r="X28" i="6"/>
  <c r="W28" i="6"/>
  <c r="V28" i="6"/>
  <c r="U28" i="6"/>
  <c r="T28" i="6"/>
  <c r="S28" i="6"/>
  <c r="DL27" i="6"/>
  <c r="DK27" i="6"/>
  <c r="DJ27" i="6"/>
  <c r="DI27" i="6"/>
  <c r="DH27" i="6"/>
  <c r="DG27" i="6"/>
  <c r="DF27" i="6"/>
  <c r="DE27" i="6"/>
  <c r="DD27" i="6"/>
  <c r="DC27" i="6"/>
  <c r="DB27" i="6"/>
  <c r="DA27" i="6"/>
  <c r="CZ27" i="6"/>
  <c r="CY27" i="6"/>
  <c r="CX27" i="6"/>
  <c r="CW27" i="6"/>
  <c r="CV27" i="6"/>
  <c r="CU27" i="6"/>
  <c r="CT27" i="6"/>
  <c r="CS27" i="6"/>
  <c r="CR27" i="6"/>
  <c r="CQ27" i="6"/>
  <c r="CP27" i="6"/>
  <c r="CO27" i="6"/>
  <c r="CN27" i="6"/>
  <c r="CM27" i="6"/>
  <c r="CL27" i="6"/>
  <c r="CK27" i="6"/>
  <c r="CJ27" i="6"/>
  <c r="CI27" i="6"/>
  <c r="CH27" i="6"/>
  <c r="CG27" i="6"/>
  <c r="CF27" i="6"/>
  <c r="CE27" i="6"/>
  <c r="CD27" i="6"/>
  <c r="CC27" i="6"/>
  <c r="CB27" i="6"/>
  <c r="BZ27" i="6"/>
  <c r="BY27" i="6"/>
  <c r="BX27" i="6"/>
  <c r="BW27" i="6"/>
  <c r="BV27" i="6"/>
  <c r="BU27" i="6"/>
  <c r="BT27" i="6"/>
  <c r="BS27" i="6"/>
  <c r="BR27" i="6"/>
  <c r="BQ27" i="6"/>
  <c r="BP27" i="6"/>
  <c r="BO27" i="6"/>
  <c r="BN27" i="6"/>
  <c r="BM27" i="6"/>
  <c r="BL27" i="6"/>
  <c r="BK27" i="6"/>
  <c r="BJ27" i="6"/>
  <c r="BI27" i="6"/>
  <c r="BH27" i="6"/>
  <c r="BG27" i="6"/>
  <c r="BF27" i="6"/>
  <c r="BD27" i="6"/>
  <c r="BC27" i="6"/>
  <c r="BB27" i="6"/>
  <c r="BA27" i="6"/>
  <c r="AZ27" i="6"/>
  <c r="AX27" i="6"/>
  <c r="AW27" i="6"/>
  <c r="AV27" i="6"/>
  <c r="AU27" i="6"/>
  <c r="AT27" i="6"/>
  <c r="AS27" i="6"/>
  <c r="AR27" i="6"/>
  <c r="AQ27" i="6"/>
  <c r="AP27" i="6"/>
  <c r="AO27" i="6"/>
  <c r="AM27" i="6"/>
  <c r="AK27" i="6"/>
  <c r="AJ27" i="6"/>
  <c r="AI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DL26" i="6"/>
  <c r="DK26" i="6"/>
  <c r="DJ26" i="6"/>
  <c r="DI26" i="6"/>
  <c r="DH26" i="6"/>
  <c r="DG26" i="6"/>
  <c r="DF26" i="6"/>
  <c r="DE26" i="6"/>
  <c r="DD26" i="6"/>
  <c r="DC26" i="6"/>
  <c r="DB26" i="6"/>
  <c r="DA26" i="6"/>
  <c r="CZ26" i="6"/>
  <c r="CY26" i="6"/>
  <c r="CX26" i="6"/>
  <c r="CW26" i="6"/>
  <c r="CV26" i="6"/>
  <c r="CU26" i="6"/>
  <c r="CT26" i="6"/>
  <c r="CS26" i="6"/>
  <c r="CR26" i="6"/>
  <c r="CQ26" i="6"/>
  <c r="CP26" i="6"/>
  <c r="CO26" i="6"/>
  <c r="CN26" i="6"/>
  <c r="CM26" i="6"/>
  <c r="CL26" i="6"/>
  <c r="CK26" i="6"/>
  <c r="CJ26" i="6"/>
  <c r="CI26" i="6"/>
  <c r="CH26" i="6"/>
  <c r="CG26" i="6"/>
  <c r="CF26" i="6"/>
  <c r="CE26" i="6"/>
  <c r="CD26" i="6"/>
  <c r="CC26" i="6"/>
  <c r="CB26" i="6"/>
  <c r="BZ26" i="6"/>
  <c r="BY26" i="6"/>
  <c r="BX26" i="6"/>
  <c r="BW26" i="6"/>
  <c r="BV26" i="6"/>
  <c r="BU26" i="6"/>
  <c r="BT26" i="6"/>
  <c r="BS26" i="6"/>
  <c r="BR26" i="6"/>
  <c r="BQ26" i="6"/>
  <c r="BP26" i="6"/>
  <c r="BO26" i="6"/>
  <c r="BN26" i="6"/>
  <c r="BM26" i="6"/>
  <c r="BL26" i="6"/>
  <c r="BK26" i="6"/>
  <c r="BJ26" i="6"/>
  <c r="BI26" i="6"/>
  <c r="BH26" i="6"/>
  <c r="BG26" i="6"/>
  <c r="BF26" i="6"/>
  <c r="BD26" i="6"/>
  <c r="BC26" i="6"/>
  <c r="BB26" i="6"/>
  <c r="BA26" i="6"/>
  <c r="AZ26" i="6"/>
  <c r="AX26" i="6"/>
  <c r="AW26" i="6"/>
  <c r="AV26" i="6"/>
  <c r="AU26" i="6"/>
  <c r="AT26" i="6"/>
  <c r="AS26" i="6"/>
  <c r="AR26" i="6"/>
  <c r="AQ26" i="6"/>
  <c r="AP26" i="6"/>
  <c r="AO26" i="6"/>
  <c r="AM26" i="6"/>
  <c r="AK26" i="6"/>
  <c r="AJ26" i="6"/>
  <c r="AI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DL25" i="6"/>
  <c r="DK25" i="6"/>
  <c r="DJ25" i="6"/>
  <c r="DI25" i="6"/>
  <c r="DH25" i="6"/>
  <c r="DG25" i="6"/>
  <c r="DF25" i="6"/>
  <c r="DE25" i="6"/>
  <c r="DD25" i="6"/>
  <c r="DC25" i="6"/>
  <c r="DB25" i="6"/>
  <c r="DA25" i="6"/>
  <c r="CZ25" i="6"/>
  <c r="CY25" i="6"/>
  <c r="CX25" i="6"/>
  <c r="CW25" i="6"/>
  <c r="CV25" i="6"/>
  <c r="CU25" i="6"/>
  <c r="CT25" i="6"/>
  <c r="CS25" i="6"/>
  <c r="CR25" i="6"/>
  <c r="CQ25" i="6"/>
  <c r="CP25" i="6"/>
  <c r="CO25" i="6"/>
  <c r="CN25" i="6"/>
  <c r="CM25" i="6"/>
  <c r="CL25" i="6"/>
  <c r="CK25" i="6"/>
  <c r="CJ25" i="6"/>
  <c r="CI25" i="6"/>
  <c r="CH25" i="6"/>
  <c r="CG25" i="6"/>
  <c r="CF25" i="6"/>
  <c r="CE25" i="6"/>
  <c r="CD25" i="6"/>
  <c r="CC25" i="6"/>
  <c r="CB25" i="6"/>
  <c r="CA25" i="6"/>
  <c r="BZ25" i="6"/>
  <c r="BY25" i="6"/>
  <c r="BX25" i="6"/>
  <c r="BW25" i="6"/>
  <c r="BV25" i="6"/>
  <c r="BU25" i="6"/>
  <c r="BT25" i="6"/>
  <c r="BS25" i="6"/>
  <c r="BR25" i="6"/>
  <c r="BQ25" i="6"/>
  <c r="BN25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BA25" i="6"/>
  <c r="AZ25" i="6"/>
  <c r="AX25" i="6"/>
  <c r="AW25" i="6"/>
  <c r="AV25" i="6"/>
  <c r="AU25" i="6"/>
  <c r="AT25" i="6"/>
  <c r="AS25" i="6"/>
  <c r="AR25" i="6"/>
  <c r="AQ25" i="6"/>
  <c r="AP25" i="6"/>
  <c r="AO25" i="6"/>
  <c r="AM25" i="6"/>
  <c r="AK25" i="6"/>
  <c r="AJ25" i="6"/>
  <c r="AI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DL24" i="6"/>
  <c r="DK24" i="6"/>
  <c r="DJ24" i="6"/>
  <c r="DI24" i="6"/>
  <c r="DH24" i="6"/>
  <c r="DG24" i="6"/>
  <c r="DF24" i="6"/>
  <c r="DE24" i="6"/>
  <c r="DD24" i="6"/>
  <c r="DC24" i="6"/>
  <c r="DB24" i="6"/>
  <c r="DA24" i="6"/>
  <c r="CZ24" i="6"/>
  <c r="CY24" i="6"/>
  <c r="CX24" i="6"/>
  <c r="CW24" i="6"/>
  <c r="CV24" i="6"/>
  <c r="CU24" i="6"/>
  <c r="CT24" i="6"/>
  <c r="CS24" i="6"/>
  <c r="CR24" i="6"/>
  <c r="CQ24" i="6"/>
  <c r="CP24" i="6"/>
  <c r="CO24" i="6"/>
  <c r="CN24" i="6"/>
  <c r="CM24" i="6"/>
  <c r="CL24" i="6"/>
  <c r="CK24" i="6"/>
  <c r="CJ24" i="6"/>
  <c r="CH24" i="6"/>
  <c r="CG24" i="6"/>
  <c r="CF24" i="6"/>
  <c r="CE24" i="6"/>
  <c r="CD24" i="6"/>
  <c r="CC24" i="6"/>
  <c r="CB24" i="6"/>
  <c r="BZ24" i="6"/>
  <c r="BY24" i="6"/>
  <c r="BX24" i="6"/>
  <c r="BW24" i="6"/>
  <c r="BV24" i="6"/>
  <c r="BU24" i="6"/>
  <c r="BT24" i="6"/>
  <c r="BS24" i="6"/>
  <c r="BR24" i="6"/>
  <c r="BQ24" i="6"/>
  <c r="BP24" i="6"/>
  <c r="BO24" i="6"/>
  <c r="BN24" i="6"/>
  <c r="BM24" i="6"/>
  <c r="BL24" i="6"/>
  <c r="BK24" i="6"/>
  <c r="BJ24" i="6"/>
  <c r="BI24" i="6"/>
  <c r="BH24" i="6"/>
  <c r="BG24" i="6"/>
  <c r="BF24" i="6"/>
  <c r="BD24" i="6"/>
  <c r="BC24" i="6"/>
  <c r="BB24" i="6"/>
  <c r="BA24" i="6"/>
  <c r="AZ24" i="6"/>
  <c r="AX24" i="6"/>
  <c r="AW24" i="6"/>
  <c r="AV24" i="6"/>
  <c r="AU24" i="6"/>
  <c r="AT24" i="6"/>
  <c r="AS24" i="6"/>
  <c r="AR24" i="6"/>
  <c r="AQ24" i="6"/>
  <c r="AP24" i="6"/>
  <c r="AO24" i="6"/>
  <c r="AM24" i="6"/>
  <c r="AK24" i="6"/>
  <c r="AJ24" i="6"/>
  <c r="AI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DL21" i="6"/>
  <c r="DL28" i="6" s="1"/>
  <c r="DK21" i="6"/>
  <c r="DJ21" i="6"/>
  <c r="DI21" i="6"/>
  <c r="DI28" i="6" s="1"/>
  <c r="DH21" i="6"/>
  <c r="DH28" i="6" s="1"/>
  <c r="DG21" i="6"/>
  <c r="DG28" i="6" s="1"/>
  <c r="DF21" i="6"/>
  <c r="DF28" i="6" s="1"/>
  <c r="DE21" i="6"/>
  <c r="DE28" i="6" s="1"/>
  <c r="DD21" i="6"/>
  <c r="DD28" i="6" s="1"/>
  <c r="DC21" i="6"/>
  <c r="DC28" i="6" s="1"/>
  <c r="DB21" i="6"/>
  <c r="DB28" i="6" s="1"/>
  <c r="DA21" i="6"/>
  <c r="DA28" i="6" s="1"/>
  <c r="CY28" i="6"/>
  <c r="CN21" i="6"/>
  <c r="CN28" i="6" s="1"/>
  <c r="CM21" i="6"/>
  <c r="CL21" i="6"/>
  <c r="CK21" i="6"/>
  <c r="CJ21" i="6"/>
  <c r="CI21" i="6"/>
  <c r="CI28" i="6" s="1"/>
  <c r="CH21" i="6"/>
  <c r="CG21" i="6"/>
  <c r="CF21" i="6"/>
  <c r="CE21" i="6"/>
  <c r="CD21" i="6"/>
  <c r="CC21" i="6"/>
  <c r="CC28" i="6" s="1"/>
  <c r="CA21" i="6"/>
  <c r="CA28" i="6" s="1"/>
  <c r="BZ21" i="6"/>
  <c r="BY21" i="6"/>
  <c r="BX21" i="6"/>
  <c r="BX28" i="6" s="1"/>
  <c r="BW21" i="6"/>
  <c r="BW28" i="6" s="1"/>
  <c r="BV21" i="6"/>
  <c r="BU21" i="6"/>
  <c r="BT21" i="6"/>
  <c r="BS21" i="6"/>
  <c r="BS28" i="6" s="1"/>
  <c r="BR21" i="6"/>
  <c r="BR28" i="6" s="1"/>
  <c r="BQ21" i="6"/>
  <c r="BQ28" i="6" s="1"/>
  <c r="AM21" i="6"/>
  <c r="AM28" i="6" s="1"/>
  <c r="AF21" i="6"/>
  <c r="AF28" i="6" s="1"/>
  <c r="AD21" i="6"/>
  <c r="AD28" i="6" s="1"/>
  <c r="AC21" i="6"/>
  <c r="AC28" i="6" s="1"/>
  <c r="AB21" i="6"/>
  <c r="AB28" i="6" s="1"/>
  <c r="M21" i="6"/>
  <c r="L21" i="6"/>
  <c r="DP20" i="6"/>
  <c r="DO20" i="6"/>
  <c r="DN20" i="6"/>
  <c r="T9" i="4" s="1"/>
  <c r="DM20" i="6"/>
  <c r="Q9" i="4" s="1"/>
  <c r="BE27" i="6"/>
  <c r="DP19" i="6"/>
  <c r="DO19" i="6"/>
  <c r="DN19" i="6"/>
  <c r="DM19" i="6"/>
  <c r="CA26" i="6"/>
  <c r="BE26" i="6"/>
  <c r="DP18" i="6"/>
  <c r="DO18" i="6"/>
  <c r="DN18" i="6"/>
  <c r="T8" i="4" s="1"/>
  <c r="DM18" i="6"/>
  <c r="Q8" i="4" s="1"/>
  <c r="DP17" i="6"/>
  <c r="DO17" i="6"/>
  <c r="DN17" i="6"/>
  <c r="CA24" i="6"/>
  <c r="BE24" i="6"/>
  <c r="DM24" i="6" l="1"/>
  <c r="DN25" i="6"/>
  <c r="DM27" i="6"/>
  <c r="DN26" i="6"/>
  <c r="DM21" i="6"/>
  <c r="DN21" i="6"/>
  <c r="DP26" i="6"/>
  <c r="CO28" i="6"/>
  <c r="DP28" i="6" s="1"/>
  <c r="DO27" i="6"/>
  <c r="DP24" i="6"/>
  <c r="DP25" i="6"/>
  <c r="DN28" i="6"/>
  <c r="DO24" i="6"/>
  <c r="DN27" i="6"/>
  <c r="DP27" i="6"/>
  <c r="DM25" i="6"/>
  <c r="DO25" i="6"/>
  <c r="DM28" i="6"/>
  <c r="BE21" i="6"/>
  <c r="DN24" i="6"/>
  <c r="DO21" i="6"/>
  <c r="DM26" i="6"/>
  <c r="CA27" i="6"/>
  <c r="DO26" i="6"/>
  <c r="DO28" i="6" l="1"/>
  <c r="BE28" i="6"/>
  <c r="N54" i="4" l="1"/>
  <c r="N53" i="4"/>
  <c r="N51" i="4"/>
  <c r="N50" i="4"/>
  <c r="N49" i="4"/>
  <c r="N46" i="4"/>
  <c r="N45" i="4"/>
  <c r="L45" i="4"/>
  <c r="L56" i="4" s="1"/>
  <c r="N42" i="4"/>
  <c r="L36" i="4"/>
  <c r="N32" i="4"/>
  <c r="N36" i="4" s="1"/>
  <c r="L31" i="4"/>
  <c r="N30" i="4"/>
  <c r="N31" i="4" s="1"/>
  <c r="L29" i="4"/>
  <c r="N28" i="4"/>
  <c r="N27" i="4"/>
  <c r="N26" i="4"/>
  <c r="N25" i="4"/>
  <c r="N24" i="4"/>
  <c r="N23" i="4"/>
  <c r="N22" i="4"/>
  <c r="N21" i="4"/>
  <c r="N20" i="4"/>
  <c r="N19" i="4"/>
  <c r="L18" i="4"/>
  <c r="N17" i="4"/>
  <c r="N16" i="4"/>
  <c r="N10" i="4"/>
  <c r="Q10" i="4"/>
  <c r="T10" i="4"/>
  <c r="N55" i="4" l="1"/>
  <c r="L37" i="4"/>
  <c r="I8" i="4" s="1"/>
  <c r="N52" i="4"/>
  <c r="N18" i="4"/>
  <c r="I9" i="4"/>
  <c r="N29" i="4"/>
  <c r="N37" i="4" l="1"/>
  <c r="K8" i="4" s="1"/>
  <c r="N56" i="4"/>
  <c r="K9" i="4" s="1"/>
  <c r="K10" i="4" l="1"/>
</calcChain>
</file>

<file path=xl/sharedStrings.xml><?xml version="1.0" encoding="utf-8"?>
<sst xmlns="http://schemas.openxmlformats.org/spreadsheetml/2006/main" count="338" uniqueCount="241">
  <si>
    <t>단가</t>
    <phoneticPr fontId="3" type="noConversion"/>
  </si>
  <si>
    <t>처리량</t>
    <phoneticPr fontId="3" type="noConversion"/>
  </si>
  <si>
    <t>처리금액</t>
    <phoneticPr fontId="3" type="noConversion"/>
  </si>
  <si>
    <t>처리량(kg)</t>
    <phoneticPr fontId="3" type="noConversion"/>
  </si>
  <si>
    <t>-</t>
    <phoneticPr fontId="3" type="noConversion"/>
  </si>
  <si>
    <t>천안수지</t>
    <phoneticPr fontId="3" type="noConversion"/>
  </si>
  <si>
    <t>세영산업</t>
    <phoneticPr fontId="3" type="noConversion"/>
  </si>
  <si>
    <t>현대에코라인</t>
    <phoneticPr fontId="3" type="noConversion"/>
  </si>
  <si>
    <t>정우산업개발</t>
  </si>
  <si>
    <t>유림이엔지</t>
  </si>
  <si>
    <t>금액</t>
    <phoneticPr fontId="3" type="noConversion"/>
  </si>
  <si>
    <t>비고</t>
    <phoneticPr fontId="3" type="noConversion"/>
  </si>
  <si>
    <t>1. 매각 및 처리 현황</t>
    <phoneticPr fontId="3" type="noConversion"/>
  </si>
  <si>
    <t>단위 : kg, 원 / 부가세별도</t>
    <phoneticPr fontId="3" type="noConversion"/>
  </si>
  <si>
    <t>구분</t>
    <phoneticPr fontId="3" type="noConversion"/>
  </si>
  <si>
    <t>전   월</t>
    <phoneticPr fontId="3" type="noConversion"/>
  </si>
  <si>
    <t>당   월</t>
    <phoneticPr fontId="3" type="noConversion"/>
  </si>
  <si>
    <t>수량</t>
    <phoneticPr fontId="3" type="noConversion"/>
  </si>
  <si>
    <t>월 평균
금액</t>
    <phoneticPr fontId="3" type="noConversion"/>
  </si>
  <si>
    <t>누계
금액</t>
    <phoneticPr fontId="3" type="noConversion"/>
  </si>
  <si>
    <t>매각</t>
    <phoneticPr fontId="3" type="noConversion"/>
  </si>
  <si>
    <t>처리</t>
    <phoneticPr fontId="3" type="noConversion"/>
  </si>
  <si>
    <t>이익</t>
    <phoneticPr fontId="3" type="noConversion"/>
  </si>
  <si>
    <t>-</t>
  </si>
  <si>
    <t>2. 부산물 매각 세부 현황</t>
    <phoneticPr fontId="3" type="noConversion"/>
  </si>
  <si>
    <t>업체명</t>
    <phoneticPr fontId="3" type="noConversion"/>
  </si>
  <si>
    <t>품명</t>
    <phoneticPr fontId="3" type="noConversion"/>
  </si>
  <si>
    <t>계근량</t>
    <phoneticPr fontId="3" type="noConversion"/>
  </si>
  <si>
    <t>매각금액</t>
    <phoneticPr fontId="3" type="noConversion"/>
  </si>
  <si>
    <t xml:space="preserve"> 폐파렛트 PP</t>
    <phoneticPr fontId="3" type="noConversion"/>
  </si>
  <si>
    <t xml:space="preserve"> 폐파렛트 PE</t>
    <phoneticPr fontId="3" type="noConversion"/>
  </si>
  <si>
    <t>  소계</t>
  </si>
  <si>
    <t>에이슨텍
코퍼레이션</t>
    <phoneticPr fontId="3" type="noConversion"/>
  </si>
  <si>
    <t xml:space="preserve"> 고철</t>
    <phoneticPr fontId="3" type="noConversion"/>
  </si>
  <si>
    <t>전용계좌</t>
    <phoneticPr fontId="3" type="noConversion"/>
  </si>
  <si>
    <t xml:space="preserve"> 폐말통</t>
    <phoneticPr fontId="3" type="noConversion"/>
  </si>
  <si>
    <t xml:space="preserve"> PE SCRAP</t>
    <phoneticPr fontId="3" type="noConversion"/>
  </si>
  <si>
    <t xml:space="preserve"> 레진백</t>
    <phoneticPr fontId="3" type="noConversion"/>
  </si>
  <si>
    <t xml:space="preserve"> PE 드럼</t>
  </si>
  <si>
    <t>무상처리</t>
    <phoneticPr fontId="3" type="noConversion"/>
  </si>
  <si>
    <t xml:space="preserve"> 폐비닐</t>
  </si>
  <si>
    <t xml:space="preserve"> 폐졸</t>
  </si>
  <si>
    <t xml:space="preserve"> 공드럼 (200L)</t>
  </si>
  <si>
    <t>800원/ea</t>
    <phoneticPr fontId="3" type="noConversion"/>
  </si>
  <si>
    <t xml:space="preserve"> 공드럼 (100L)</t>
  </si>
  <si>
    <t xml:space="preserve"> 공드럼 (50L)</t>
  </si>
  <si>
    <t>PE 드럼</t>
    <phoneticPr fontId="3" type="noConversion"/>
  </si>
  <si>
    <t xml:space="preserve"> EA</t>
    <phoneticPr fontId="3" type="noConversion"/>
  </si>
  <si>
    <t>계</t>
  </si>
  <si>
    <t>3. 폐기물 처리 세부 현황</t>
    <phoneticPr fontId="3" type="noConversion"/>
  </si>
  <si>
    <t>한국조명재활용</t>
  </si>
  <si>
    <t xml:space="preserve"> 폐형광등</t>
  </si>
  <si>
    <t xml:space="preserve"> 폐파레트 (목재)</t>
  </si>
  <si>
    <t>차량대수 : 1대</t>
    <phoneticPr fontId="3" type="noConversion"/>
  </si>
  <si>
    <t>차량대수단가</t>
    <phoneticPr fontId="3" type="noConversion"/>
  </si>
  <si>
    <t xml:space="preserve"> 폐합성수지 (연료화)</t>
  </si>
  <si>
    <t>에코이앤씨</t>
  </si>
  <si>
    <t xml:space="preserve"> 폐소화기</t>
  </si>
  <si>
    <t>무상처리</t>
  </si>
  <si>
    <t>화성에너텍</t>
    <phoneticPr fontId="3" type="noConversion"/>
  </si>
  <si>
    <t xml:space="preserve"> 열매체유</t>
    <phoneticPr fontId="3" type="noConversion"/>
  </si>
  <si>
    <t>오복환경</t>
    <phoneticPr fontId="3" type="noConversion"/>
  </si>
  <si>
    <t xml:space="preserve"> 폐절연유</t>
    <phoneticPr fontId="3" type="noConversion"/>
  </si>
  <si>
    <t xml:space="preserve"> 폐유기용제(폐잉크)</t>
  </si>
  <si>
    <t xml:space="preserve"> 폐합성수지(연료화)</t>
  </si>
  <si>
    <t xml:space="preserve"> 폐합성수지(생활계)</t>
  </si>
  <si>
    <t xml:space="preserve"> 폐유기용제(고상)</t>
  </si>
  <si>
    <t>계</t>
    <phoneticPr fontId="3" type="noConversion"/>
  </si>
  <si>
    <t>4. 변동 추이</t>
    <phoneticPr fontId="3" type="noConversion"/>
  </si>
  <si>
    <t>년</t>
    <phoneticPr fontId="3" type="noConversion"/>
  </si>
  <si>
    <t>월</t>
    <phoneticPr fontId="3" type="noConversion"/>
  </si>
  <si>
    <t>부산물/폐기물 매각 및 처리현황</t>
    <phoneticPr fontId="3" type="noConversion"/>
  </si>
  <si>
    <t>구 분</t>
    <phoneticPr fontId="3" type="noConversion"/>
  </si>
  <si>
    <t>'16.5월</t>
  </si>
  <si>
    <t>'16.6월</t>
  </si>
  <si>
    <t>'16.7월</t>
  </si>
  <si>
    <t>'16.8월</t>
  </si>
  <si>
    <t>'16.9월</t>
  </si>
  <si>
    <t>'16.10월</t>
  </si>
  <si>
    <t>'16.11월</t>
  </si>
  <si>
    <t>'16.12월</t>
  </si>
  <si>
    <t>'17.1월</t>
  </si>
  <si>
    <t>'17.2월</t>
  </si>
  <si>
    <t>'17.3월</t>
  </si>
  <si>
    <t>'17.4월</t>
  </si>
  <si>
    <t>'17.6월</t>
  </si>
  <si>
    <t>'17.7월</t>
  </si>
  <si>
    <t>'17.8월</t>
  </si>
  <si>
    <t>'17.9월</t>
  </si>
  <si>
    <t>'17.10월</t>
  </si>
  <si>
    <t>'17.11월</t>
  </si>
  <si>
    <t>'17.12월</t>
  </si>
  <si>
    <t>'18.1월</t>
  </si>
  <si>
    <t>'18.2월</t>
  </si>
  <si>
    <t>'18.3월</t>
  </si>
  <si>
    <t>'18.4월</t>
  </si>
  <si>
    <t>'18.5월</t>
  </si>
  <si>
    <t>'18.6월</t>
    <phoneticPr fontId="3" type="noConversion"/>
  </si>
  <si>
    <t>'18.7월</t>
    <phoneticPr fontId="3" type="noConversion"/>
  </si>
  <si>
    <t>'18.8월</t>
    <phoneticPr fontId="3" type="noConversion"/>
  </si>
  <si>
    <t>'18.9월</t>
    <phoneticPr fontId="3" type="noConversion"/>
  </si>
  <si>
    <t>'18.10월</t>
    <phoneticPr fontId="3" type="noConversion"/>
  </si>
  <si>
    <t>'18.11월</t>
    <phoneticPr fontId="3" type="noConversion"/>
  </si>
  <si>
    <t>'18.12월</t>
    <phoneticPr fontId="3" type="noConversion"/>
  </si>
  <si>
    <t>'19.1월</t>
    <phoneticPr fontId="3" type="noConversion"/>
  </si>
  <si>
    <t>'19.2월</t>
    <phoneticPr fontId="3" type="noConversion"/>
  </si>
  <si>
    <t>'19.3월</t>
    <phoneticPr fontId="3" type="noConversion"/>
  </si>
  <si>
    <t>'19.4월</t>
    <phoneticPr fontId="3" type="noConversion"/>
  </si>
  <si>
    <t>'19.5월</t>
    <phoneticPr fontId="3" type="noConversion"/>
  </si>
  <si>
    <t>'19.6월</t>
    <phoneticPr fontId="3" type="noConversion"/>
  </si>
  <si>
    <t>'19.7월</t>
    <phoneticPr fontId="3" type="noConversion"/>
  </si>
  <si>
    <t>'19.8월</t>
    <phoneticPr fontId="3" type="noConversion"/>
  </si>
  <si>
    <t>'19.9월</t>
    <phoneticPr fontId="3" type="noConversion"/>
  </si>
  <si>
    <t>'19.10월</t>
    <phoneticPr fontId="3" type="noConversion"/>
  </si>
  <si>
    <t>'19.11월</t>
    <phoneticPr fontId="3" type="noConversion"/>
  </si>
  <si>
    <t>'19.12월</t>
    <phoneticPr fontId="3" type="noConversion"/>
  </si>
  <si>
    <t>'20.1월</t>
    <phoneticPr fontId="3" type="noConversion"/>
  </si>
  <si>
    <t>'20.2월</t>
    <phoneticPr fontId="3" type="noConversion"/>
  </si>
  <si>
    <t>'20.3월</t>
    <phoneticPr fontId="3" type="noConversion"/>
  </si>
  <si>
    <t>'20.4월</t>
    <phoneticPr fontId="3" type="noConversion"/>
  </si>
  <si>
    <t>'20.5월</t>
    <phoneticPr fontId="3" type="noConversion"/>
  </si>
  <si>
    <t>'20.6월</t>
  </si>
  <si>
    <t>'20.7월</t>
  </si>
  <si>
    <t>'20.8월</t>
    <phoneticPr fontId="3" type="noConversion"/>
  </si>
  <si>
    <t>'20.9월</t>
    <phoneticPr fontId="3" type="noConversion"/>
  </si>
  <si>
    <t>'20.10월</t>
    <phoneticPr fontId="3" type="noConversion"/>
  </si>
  <si>
    <t>'20.11월</t>
    <phoneticPr fontId="3" type="noConversion"/>
  </si>
  <si>
    <t>'20.12월</t>
    <phoneticPr fontId="3" type="noConversion"/>
  </si>
  <si>
    <t>'21.1월</t>
    <phoneticPr fontId="3" type="noConversion"/>
  </si>
  <si>
    <t>'21.2월</t>
  </si>
  <si>
    <t>'21.3월</t>
  </si>
  <si>
    <t>'21.4월</t>
  </si>
  <si>
    <t>'21.5월</t>
  </si>
  <si>
    <t>'21.6월</t>
  </si>
  <si>
    <t>'21.7월</t>
  </si>
  <si>
    <t>'21.8월</t>
  </si>
  <si>
    <t>'21.9월</t>
  </si>
  <si>
    <t>'21.10월</t>
  </si>
  <si>
    <t>'21.11월</t>
  </si>
  <si>
    <t>'21.12월</t>
  </si>
  <si>
    <t>'22.1월</t>
  </si>
  <si>
    <t>'22.2월</t>
  </si>
  <si>
    <t>'22.3월</t>
  </si>
  <si>
    <t>'22.4월</t>
    <phoneticPr fontId="3" type="noConversion"/>
  </si>
  <si>
    <t>'22.5월</t>
    <phoneticPr fontId="3" type="noConversion"/>
  </si>
  <si>
    <t>'22.6월</t>
    <phoneticPr fontId="3" type="noConversion"/>
  </si>
  <si>
    <t>'22.7월</t>
  </si>
  <si>
    <t>'22.8월</t>
  </si>
  <si>
    <t>'22.9월</t>
  </si>
  <si>
    <t>'22.10월</t>
  </si>
  <si>
    <t>'22.11월</t>
  </si>
  <si>
    <t>'22.12월</t>
  </si>
  <si>
    <t>'23.1월</t>
    <phoneticPr fontId="3" type="noConversion"/>
  </si>
  <si>
    <t>'23.2월</t>
  </si>
  <si>
    <t>'23.3월</t>
  </si>
  <si>
    <t>'23.4월</t>
  </si>
  <si>
    <t>'23.5월</t>
  </si>
  <si>
    <t>'23.6월</t>
  </si>
  <si>
    <t>'23.7월</t>
  </si>
  <si>
    <t>'23.8월</t>
  </si>
  <si>
    <t>'23.9월</t>
  </si>
  <si>
    <t>'23.10월</t>
  </si>
  <si>
    <t>'23.11월</t>
  </si>
  <si>
    <t>'23.12월</t>
  </si>
  <si>
    <t>'25.1월</t>
    <phoneticPr fontId="3" type="noConversion"/>
  </si>
  <si>
    <t>'25.2월</t>
    <phoneticPr fontId="3" type="noConversion"/>
  </si>
  <si>
    <t>'25.3월</t>
    <phoneticPr fontId="3" type="noConversion"/>
  </si>
  <si>
    <t>'25.4월</t>
    <phoneticPr fontId="3" type="noConversion"/>
  </si>
  <si>
    <t>'25.5월</t>
    <phoneticPr fontId="3" type="noConversion"/>
  </si>
  <si>
    <t>'25.6월</t>
    <phoneticPr fontId="3" type="noConversion"/>
  </si>
  <si>
    <t>'25.7월</t>
    <phoneticPr fontId="3" type="noConversion"/>
  </si>
  <si>
    <t>'25.8월</t>
    <phoneticPr fontId="3" type="noConversion"/>
  </si>
  <si>
    <t>'25.9월</t>
    <phoneticPr fontId="3" type="noConversion"/>
  </si>
  <si>
    <t>'25.10월</t>
    <phoneticPr fontId="3" type="noConversion"/>
  </si>
  <si>
    <t>'25.11월</t>
    <phoneticPr fontId="3" type="noConversion"/>
  </si>
  <si>
    <t>'25.12월</t>
    <phoneticPr fontId="3" type="noConversion"/>
  </si>
  <si>
    <t>2025년 평균</t>
    <phoneticPr fontId="3" type="noConversion"/>
  </si>
  <si>
    <t>2025년 합계</t>
    <phoneticPr fontId="3" type="noConversion"/>
  </si>
  <si>
    <t>2024년 평균</t>
    <phoneticPr fontId="3" type="noConversion"/>
  </si>
  <si>
    <t>2024년 합계</t>
    <phoneticPr fontId="3" type="noConversion"/>
  </si>
  <si>
    <t>2023년 평균</t>
    <phoneticPr fontId="3" type="noConversion"/>
  </si>
  <si>
    <t>2023년 합계</t>
    <phoneticPr fontId="3" type="noConversion"/>
  </si>
  <si>
    <t>2022년 평균</t>
    <phoneticPr fontId="3" type="noConversion"/>
  </si>
  <si>
    <t>2022년 합계</t>
    <phoneticPr fontId="3" type="noConversion"/>
  </si>
  <si>
    <t>매각량(kg)</t>
    <phoneticPr fontId="3" type="noConversion"/>
  </si>
  <si>
    <t>이익금액</t>
    <phoneticPr fontId="3" type="noConversion"/>
  </si>
  <si>
    <t>구분</t>
  </si>
  <si>
    <t>'18.6월</t>
  </si>
  <si>
    <t>'18.7월</t>
  </si>
  <si>
    <t>'18.8월</t>
  </si>
  <si>
    <t>'18.9월</t>
  </si>
  <si>
    <t>'18.10월</t>
  </si>
  <si>
    <t>'18.11월</t>
  </si>
  <si>
    <t>18.12월</t>
    <phoneticPr fontId="3" type="noConversion"/>
  </si>
  <si>
    <t>19.1월</t>
    <phoneticPr fontId="3" type="noConversion"/>
  </si>
  <si>
    <t>19.2월</t>
    <phoneticPr fontId="3" type="noConversion"/>
  </si>
  <si>
    <t>19.3월</t>
    <phoneticPr fontId="3" type="noConversion"/>
  </si>
  <si>
    <t>19.4월</t>
    <phoneticPr fontId="3" type="noConversion"/>
  </si>
  <si>
    <t>19.5월</t>
    <phoneticPr fontId="3" type="noConversion"/>
  </si>
  <si>
    <t>19.6월</t>
    <phoneticPr fontId="3" type="noConversion"/>
  </si>
  <si>
    <t>19.7월</t>
    <phoneticPr fontId="3" type="noConversion"/>
  </si>
  <si>
    <t>19.8월</t>
  </si>
  <si>
    <t>19.9월</t>
    <phoneticPr fontId="3" type="noConversion"/>
  </si>
  <si>
    <t>19.10월</t>
    <phoneticPr fontId="3" type="noConversion"/>
  </si>
  <si>
    <t>'19.11월</t>
  </si>
  <si>
    <t>'20.1월</t>
  </si>
  <si>
    <t>'20.2월</t>
  </si>
  <si>
    <t>'20.4월</t>
  </si>
  <si>
    <t>'20.5월</t>
  </si>
  <si>
    <t>'21.1월</t>
  </si>
  <si>
    <t>매각량(ton)</t>
    <phoneticPr fontId="3" type="noConversion"/>
  </si>
  <si>
    <t>매각금액</t>
  </si>
  <si>
    <t>처리량(ton)</t>
    <phoneticPr fontId="3" type="noConversion"/>
  </si>
  <si>
    <t>처리금액</t>
  </si>
  <si>
    <t>이익금액</t>
  </si>
  <si>
    <t>매각량</t>
    <phoneticPr fontId="3" type="noConversion"/>
  </si>
  <si>
    <t>2026년 평균</t>
    <phoneticPr fontId="3" type="noConversion"/>
  </si>
  <si>
    <t>2026년 합계</t>
    <phoneticPr fontId="3" type="noConversion"/>
  </si>
  <si>
    <t>'26.1월</t>
    <phoneticPr fontId="3" type="noConversion"/>
  </si>
  <si>
    <t>'26.2월</t>
    <phoneticPr fontId="3" type="noConversion"/>
  </si>
  <si>
    <t>'26.3월</t>
    <phoneticPr fontId="3" type="noConversion"/>
  </si>
  <si>
    <t>'26.4월</t>
    <phoneticPr fontId="3" type="noConversion"/>
  </si>
  <si>
    <t>'26.5월</t>
    <phoneticPr fontId="3" type="noConversion"/>
  </si>
  <si>
    <t>'26.6월</t>
    <phoneticPr fontId="3" type="noConversion"/>
  </si>
  <si>
    <t>'26.7월</t>
    <phoneticPr fontId="3" type="noConversion"/>
  </si>
  <si>
    <t>'26.8월</t>
    <phoneticPr fontId="3" type="noConversion"/>
  </si>
  <si>
    <t>'26.9월</t>
    <phoneticPr fontId="3" type="noConversion"/>
  </si>
  <si>
    <t>'26.10월</t>
    <phoneticPr fontId="3" type="noConversion"/>
  </si>
  <si>
    <t>'26.11월</t>
    <phoneticPr fontId="3" type="noConversion"/>
  </si>
  <si>
    <t>'26.12월</t>
    <phoneticPr fontId="3" type="noConversion"/>
  </si>
  <si>
    <t xml:space="preserve"> 타포린_SCRAP</t>
    <phoneticPr fontId="3" type="noConversion"/>
  </si>
  <si>
    <t xml:space="preserve"> 합지</t>
    <phoneticPr fontId="3" type="noConversion"/>
  </si>
  <si>
    <t xml:space="preserve"> 일반파지</t>
    <phoneticPr fontId="3" type="noConversion"/>
  </si>
  <si>
    <t xml:space="preserve"> 알루미늄</t>
    <phoneticPr fontId="3" type="noConversion"/>
  </si>
  <si>
    <t>상록수환경</t>
    <phoneticPr fontId="3" type="noConversion"/>
  </si>
  <si>
    <t>세진</t>
    <phoneticPr fontId="3" type="noConversion"/>
  </si>
  <si>
    <t>차량대수 : 1대</t>
  </si>
  <si>
    <t>120 EA</t>
    <phoneticPr fontId="3" type="noConversion"/>
  </si>
  <si>
    <t>97 EA</t>
    <phoneticPr fontId="3" type="noConversion"/>
  </si>
  <si>
    <t>45 EA</t>
    <phoneticPr fontId="3" type="noConversion"/>
  </si>
  <si>
    <t xml:space="preserve"> 폐파레트+MDF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</si>
</sst>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8" formatCode="_-* #,##0_-;\-* #,##0_-;_-* &quot;-&quot;??_-;_-@_-"/>
    <numFmt numFmtId="170" formatCode="#,##0.0_ "/>
    <numFmt numFmtId="171" formatCode="_-* #,##0.0_-;\-* #,##0.0_-;_-* &quot;-&quot;?_-;_-@_-"/>
    <numFmt numFmtId="172" formatCode="_-* #,##0.00_-;\-* #,##0.00_-;_-* &quot;-&quot;_-;_-@_-"/>
    <numFmt numFmtId="173" formatCode="0.00_ ;[Red]\-0.00\ "/>
  </numFmts>
  <fonts count="18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Calibri Light"/>
      <family val="3"/>
      <charset val="129"/>
      <scheme val="major"/>
    </font>
    <font>
      <sz val="12"/>
      <name val="맑은 고딕"/>
      <family val="3"/>
      <charset val="129"/>
    </font>
    <font>
      <b/>
      <sz val="20"/>
      <name val="맑은 고딕"/>
      <family val="3"/>
      <charset val="129"/>
    </font>
    <font>
      <sz val="12"/>
      <name val="바탕체"/>
      <family val="1"/>
      <charset val="129"/>
    </font>
    <font>
      <b/>
      <sz val="12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7"/>
      <name val="돋움"/>
      <family val="3"/>
      <charset val="129"/>
    </font>
    <font>
      <sz val="8"/>
      <color theme="1"/>
      <name val="돋움"/>
      <family val="3"/>
      <charset val="129"/>
    </font>
    <font>
      <b/>
      <sz val="12"/>
      <name val="바탕체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9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57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11" fillId="0" borderId="0" xfId="3" applyFont="1">
      <alignment vertical="center"/>
    </xf>
    <xf numFmtId="0" fontId="12" fillId="0" borderId="0" xfId="3" applyFont="1">
      <alignment vertical="center"/>
    </xf>
    <xf numFmtId="0" fontId="13" fillId="0" borderId="0" xfId="3" applyFont="1">
      <alignment vertical="center"/>
    </xf>
    <xf numFmtId="41" fontId="11" fillId="0" borderId="38" xfId="2" applyFont="1" applyBorder="1" applyAlignment="1">
      <alignment horizontal="center" vertical="center"/>
    </xf>
    <xf numFmtId="41" fontId="11" fillId="0" borderId="35" xfId="2" applyFont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 shrinkToFit="1"/>
    </xf>
    <xf numFmtId="0" fontId="3" fillId="0" borderId="12" xfId="0" quotePrefix="1" applyFont="1" applyBorder="1" applyAlignment="1">
      <alignment horizontal="center" vertical="center" shrinkToFit="1"/>
    </xf>
    <xf numFmtId="0" fontId="4" fillId="0" borderId="12" xfId="0" quotePrefix="1" applyFont="1" applyBorder="1" applyAlignment="1">
      <alignment horizontal="center" vertical="center" shrinkToFit="1"/>
    </xf>
    <xf numFmtId="0" fontId="3" fillId="4" borderId="12" xfId="0" quotePrefix="1" applyFont="1" applyFill="1" applyBorder="1" applyAlignment="1">
      <alignment horizontal="center" vertical="center" shrinkToFit="1"/>
    </xf>
    <xf numFmtId="41" fontId="3" fillId="0" borderId="12" xfId="4" applyFont="1" applyBorder="1" applyAlignment="1">
      <alignment horizontal="center" vertical="center" shrinkToFit="1"/>
    </xf>
    <xf numFmtId="41" fontId="4" fillId="0" borderId="12" xfId="4" applyFont="1" applyBorder="1" applyAlignment="1">
      <alignment horizontal="center" vertical="center" shrinkToFit="1"/>
    </xf>
    <xf numFmtId="41" fontId="3" fillId="0" borderId="12" xfId="4" applyFont="1" applyBorder="1" applyAlignment="1">
      <alignment horizontal="right" vertical="center" shrinkToFit="1"/>
    </xf>
    <xf numFmtId="41" fontId="16" fillId="0" borderId="12" xfId="4" applyFont="1" applyBorder="1" applyAlignment="1">
      <alignment horizontal="center" vertical="center" shrinkToFit="1"/>
    </xf>
    <xf numFmtId="41" fontId="3" fillId="0" borderId="12" xfId="4" applyFont="1" applyFill="1" applyBorder="1" applyAlignment="1">
      <alignment horizontal="center" vertical="center" shrinkToFit="1"/>
    </xf>
    <xf numFmtId="41" fontId="3" fillId="0" borderId="12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3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43" fontId="15" fillId="0" borderId="12" xfId="0" applyNumberFormat="1" applyFont="1" applyBorder="1" applyAlignment="1">
      <alignment horizontal="center" vertical="center"/>
    </xf>
    <xf numFmtId="170" fontId="3" fillId="0" borderId="12" xfId="4" applyNumberFormat="1" applyFont="1" applyBorder="1" applyAlignment="1">
      <alignment horizontal="center" vertical="center" shrinkToFit="1"/>
    </xf>
    <xf numFmtId="171" fontId="3" fillId="0" borderId="12" xfId="4" applyNumberFormat="1" applyFont="1" applyBorder="1" applyAlignment="1">
      <alignment horizontal="center" vertical="center" shrinkToFit="1"/>
    </xf>
    <xf numFmtId="172" fontId="15" fillId="0" borderId="12" xfId="4" applyNumberFormat="1" applyFont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43" fontId="15" fillId="5" borderId="12" xfId="0" applyNumberFormat="1" applyFont="1" applyFill="1" applyBorder="1" applyAlignment="1">
      <alignment horizontal="center" vertical="center"/>
    </xf>
    <xf numFmtId="41" fontId="3" fillId="5" borderId="12" xfId="4" applyFont="1" applyFill="1" applyBorder="1" applyAlignment="1">
      <alignment horizontal="center" vertical="center" shrinkToFit="1"/>
    </xf>
    <xf numFmtId="171" fontId="3" fillId="5" borderId="12" xfId="4" applyNumberFormat="1" applyFont="1" applyFill="1" applyBorder="1" applyAlignment="1">
      <alignment horizontal="center" vertical="center" shrinkToFit="1"/>
    </xf>
    <xf numFmtId="172" fontId="15" fillId="5" borderId="12" xfId="4" applyNumberFormat="1" applyFont="1" applyFill="1" applyBorder="1" applyAlignment="1">
      <alignment horizontal="center" vertical="center"/>
    </xf>
    <xf numFmtId="171" fontId="3" fillId="6" borderId="12" xfId="4" applyNumberFormat="1" applyFont="1" applyFill="1" applyBorder="1" applyAlignment="1">
      <alignment horizontal="center" vertical="center" shrinkToFit="1"/>
    </xf>
    <xf numFmtId="0" fontId="17" fillId="2" borderId="93" xfId="0" applyFont="1" applyFill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173" fontId="17" fillId="7" borderId="94" xfId="0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17" xfId="3" applyFont="1" applyBorder="1" applyAlignment="1">
      <alignment horizontal="center" vertical="center"/>
    </xf>
    <xf numFmtId="0" fontId="11" fillId="0" borderId="21" xfId="3" applyFont="1" applyBorder="1" applyAlignment="1">
      <alignment horizontal="center" vertical="center"/>
    </xf>
    <xf numFmtId="0" fontId="11" fillId="0" borderId="22" xfId="3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23" xfId="3" applyFont="1" applyBorder="1" applyAlignment="1">
      <alignment horizontal="center" vertical="center"/>
    </xf>
    <xf numFmtId="0" fontId="14" fillId="0" borderId="21" xfId="3" applyFont="1" applyBorder="1" applyAlignment="1">
      <alignment horizontal="center" vertical="center"/>
    </xf>
    <xf numFmtId="41" fontId="14" fillId="0" borderId="61" xfId="2" applyFont="1" applyBorder="1" applyAlignment="1">
      <alignment horizontal="center" vertical="center"/>
    </xf>
    <xf numFmtId="41" fontId="14" fillId="0" borderId="22" xfId="2" applyFont="1" applyBorder="1" applyAlignment="1">
      <alignment horizontal="center" vertical="center"/>
    </xf>
    <xf numFmtId="41" fontId="14" fillId="0" borderId="23" xfId="2" applyFont="1" applyBorder="1" applyAlignment="1">
      <alignment horizontal="center" vertical="center"/>
    </xf>
    <xf numFmtId="41" fontId="14" fillId="0" borderId="21" xfId="2" applyFont="1" applyBorder="1" applyAlignment="1">
      <alignment horizontal="center" vertical="center"/>
    </xf>
    <xf numFmtId="41" fontId="14" fillId="0" borderId="25" xfId="2" applyFont="1" applyBorder="1" applyAlignment="1">
      <alignment horizontal="center" vertical="center"/>
    </xf>
    <xf numFmtId="0" fontId="11" fillId="0" borderId="23" xfId="3" applyFont="1" applyBorder="1" applyAlignment="1">
      <alignment horizontal="center" vertical="center"/>
    </xf>
    <xf numFmtId="0" fontId="14" fillId="4" borderId="11" xfId="3" applyFont="1" applyFill="1" applyBorder="1" applyAlignment="1">
      <alignment horizontal="center" vertical="center"/>
    </xf>
    <xf numFmtId="0" fontId="14" fillId="4" borderId="79" xfId="3" applyFont="1" applyFill="1" applyBorder="1" applyAlignment="1">
      <alignment horizontal="center" vertical="center"/>
    </xf>
    <xf numFmtId="0" fontId="14" fillId="4" borderId="9" xfId="3" applyFont="1" applyFill="1" applyBorder="1" applyAlignment="1">
      <alignment horizontal="center" vertical="center"/>
    </xf>
    <xf numFmtId="41" fontId="14" fillId="4" borderId="89" xfId="2" applyFont="1" applyFill="1" applyBorder="1" applyAlignment="1">
      <alignment horizontal="center" vertical="center"/>
    </xf>
    <xf numFmtId="41" fontId="14" fillId="4" borderId="90" xfId="2" applyFont="1" applyFill="1" applyBorder="1" applyAlignment="1">
      <alignment horizontal="center" vertical="center"/>
    </xf>
    <xf numFmtId="41" fontId="14" fillId="4" borderId="91" xfId="2" applyFont="1" applyFill="1" applyBorder="1" applyAlignment="1">
      <alignment horizontal="center" vertical="center"/>
    </xf>
    <xf numFmtId="41" fontId="14" fillId="4" borderId="1" xfId="2" applyFont="1" applyFill="1" applyBorder="1" applyAlignment="1">
      <alignment horizontal="center" vertical="center"/>
    </xf>
    <xf numFmtId="41" fontId="14" fillId="4" borderId="92" xfId="2" applyFont="1" applyFill="1" applyBorder="1" applyAlignment="1">
      <alignment horizontal="center" vertical="center"/>
    </xf>
    <xf numFmtId="41" fontId="14" fillId="4" borderId="10" xfId="2" applyFont="1" applyFill="1" applyBorder="1" applyAlignment="1">
      <alignment horizontal="center" vertical="center"/>
    </xf>
    <xf numFmtId="41" fontId="14" fillId="4" borderId="11" xfId="2" applyFont="1" applyFill="1" applyBorder="1" applyAlignment="1">
      <alignment horizontal="center" vertical="center"/>
    </xf>
    <xf numFmtId="0" fontId="11" fillId="4" borderId="9" xfId="3" applyFont="1" applyFill="1" applyBorder="1" applyAlignment="1">
      <alignment horizontal="center" vertical="center"/>
    </xf>
    <xf numFmtId="0" fontId="11" fillId="4" borderId="10" xfId="3" applyFont="1" applyFill="1" applyBorder="1" applyAlignment="1">
      <alignment horizontal="center" vertical="center"/>
    </xf>
    <xf numFmtId="0" fontId="11" fillId="0" borderId="43" xfId="3" applyFont="1" applyBorder="1" applyAlignment="1">
      <alignment horizontal="left" vertical="center"/>
    </xf>
    <xf numFmtId="41" fontId="11" fillId="0" borderId="44" xfId="2" applyFont="1" applyBorder="1" applyAlignment="1">
      <alignment horizontal="center" vertical="center"/>
    </xf>
    <xf numFmtId="41" fontId="11" fillId="0" borderId="41" xfId="2" applyFont="1" applyBorder="1" applyAlignment="1">
      <alignment horizontal="center" vertical="center"/>
    </xf>
    <xf numFmtId="41" fontId="11" fillId="0" borderId="60" xfId="2" applyFont="1" applyBorder="1" applyAlignment="1">
      <alignment horizontal="center" vertical="center"/>
    </xf>
    <xf numFmtId="41" fontId="11" fillId="0" borderId="42" xfId="2" applyFont="1" applyBorder="1" applyAlignment="1">
      <alignment horizontal="center" vertical="center"/>
    </xf>
    <xf numFmtId="41" fontId="11" fillId="0" borderId="59" xfId="2" applyFont="1" applyBorder="1" applyAlignment="1">
      <alignment horizontal="center" vertical="center"/>
    </xf>
    <xf numFmtId="0" fontId="11" fillId="0" borderId="44" xfId="3" applyFont="1" applyBorder="1" applyAlignment="1">
      <alignment horizontal="center" vertical="center"/>
    </xf>
    <xf numFmtId="0" fontId="11" fillId="0" borderId="41" xfId="3" applyFont="1" applyBorder="1" applyAlignment="1">
      <alignment horizontal="center" vertical="center"/>
    </xf>
    <xf numFmtId="41" fontId="11" fillId="0" borderId="39" xfId="2" applyFont="1" applyBorder="1" applyAlignment="1">
      <alignment horizontal="center" vertical="center"/>
    </xf>
    <xf numFmtId="41" fontId="11" fillId="0" borderId="36" xfId="2" applyFont="1" applyBorder="1" applyAlignment="1">
      <alignment horizontal="center" vertical="center"/>
    </xf>
    <xf numFmtId="41" fontId="11" fillId="0" borderId="38" xfId="2" applyFont="1" applyBorder="1" applyAlignment="1">
      <alignment horizontal="center" vertical="center"/>
    </xf>
    <xf numFmtId="41" fontId="11" fillId="0" borderId="35" xfId="2" applyFont="1" applyBorder="1" applyAlignment="1">
      <alignment horizontal="center" vertical="center"/>
    </xf>
    <xf numFmtId="41" fontId="11" fillId="0" borderId="40" xfId="2" applyFont="1" applyBorder="1" applyAlignment="1">
      <alignment horizontal="center" vertical="center"/>
    </xf>
    <xf numFmtId="0" fontId="11" fillId="0" borderId="38" xfId="3" applyFont="1" applyBorder="1" applyAlignment="1">
      <alignment horizontal="center" vertical="center"/>
    </xf>
    <xf numFmtId="0" fontId="11" fillId="0" borderId="35" xfId="3" applyFont="1" applyBorder="1" applyAlignment="1">
      <alignment horizontal="center" vertical="center"/>
    </xf>
    <xf numFmtId="0" fontId="11" fillId="0" borderId="37" xfId="3" applyFont="1" applyBorder="1" applyAlignment="1">
      <alignment horizontal="left" vertical="center"/>
    </xf>
    <xf numFmtId="41" fontId="11" fillId="0" borderId="84" xfId="2" applyFont="1" applyBorder="1" applyAlignment="1">
      <alignment horizontal="center" vertical="center"/>
    </xf>
    <xf numFmtId="41" fontId="11" fillId="0" borderId="80" xfId="2" applyFont="1" applyBorder="1" applyAlignment="1">
      <alignment horizontal="center" vertical="center"/>
    </xf>
    <xf numFmtId="41" fontId="11" fillId="0" borderId="82" xfId="2" applyFont="1" applyBorder="1" applyAlignment="1">
      <alignment horizontal="center" vertical="center"/>
    </xf>
    <xf numFmtId="41" fontId="11" fillId="0" borderId="83" xfId="2" applyFont="1" applyBorder="1" applyAlignment="1">
      <alignment horizontal="center" vertical="center"/>
    </xf>
    <xf numFmtId="41" fontId="11" fillId="0" borderId="85" xfId="2" applyFont="1" applyBorder="1" applyAlignment="1">
      <alignment horizontal="center" vertical="center"/>
    </xf>
    <xf numFmtId="0" fontId="11" fillId="0" borderId="68" xfId="3" applyFont="1" applyBorder="1" applyAlignment="1">
      <alignment horizontal="left" vertical="center"/>
    </xf>
    <xf numFmtId="41" fontId="11" fillId="0" borderId="29" xfId="2" applyFont="1" applyBorder="1" applyAlignment="1">
      <alignment horizontal="center" vertical="center"/>
    </xf>
    <xf numFmtId="41" fontId="11" fillId="0" borderId="56" xfId="2" applyFont="1" applyBorder="1" applyAlignment="1">
      <alignment horizontal="center" vertical="center"/>
    </xf>
    <xf numFmtId="41" fontId="11" fillId="0" borderId="57" xfId="2" applyFont="1" applyBorder="1" applyAlignment="1">
      <alignment horizontal="center" vertical="center"/>
    </xf>
    <xf numFmtId="41" fontId="11" fillId="0" borderId="30" xfId="2" applyFont="1" applyBorder="1" applyAlignment="1">
      <alignment horizontal="center" vertical="center"/>
    </xf>
    <xf numFmtId="41" fontId="11" fillId="0" borderId="58" xfId="2" applyFont="1" applyBorder="1" applyAlignment="1">
      <alignment horizontal="center" vertical="center"/>
    </xf>
    <xf numFmtId="0" fontId="11" fillId="0" borderId="29" xfId="3" applyFont="1" applyBorder="1" applyAlignment="1">
      <alignment horizontal="center" vertical="center"/>
    </xf>
    <xf numFmtId="0" fontId="11" fillId="0" borderId="56" xfId="3" applyFont="1" applyBorder="1" applyAlignment="1">
      <alignment horizontal="center" vertical="center"/>
    </xf>
    <xf numFmtId="0" fontId="11" fillId="0" borderId="51" xfId="3" applyFont="1" applyBorder="1" applyAlignment="1">
      <alignment horizontal="center" vertical="center"/>
    </xf>
    <xf numFmtId="0" fontId="11" fillId="0" borderId="80" xfId="3" applyFont="1" applyBorder="1" applyAlignment="1">
      <alignment horizontal="center" vertical="center"/>
    </xf>
    <xf numFmtId="0" fontId="11" fillId="0" borderId="81" xfId="3" applyFont="1" applyBorder="1" applyAlignment="1">
      <alignment horizontal="center" vertical="center"/>
    </xf>
    <xf numFmtId="0" fontId="11" fillId="0" borderId="81" xfId="3" applyFont="1" applyBorder="1" applyAlignment="1">
      <alignment horizontal="left" vertical="center"/>
    </xf>
    <xf numFmtId="0" fontId="11" fillId="0" borderId="88" xfId="3" applyFont="1" applyBorder="1" applyAlignment="1">
      <alignment horizontal="center" vertical="center"/>
    </xf>
    <xf numFmtId="0" fontId="11" fillId="0" borderId="54" xfId="3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11" fillId="0" borderId="3" xfId="3" applyFont="1" applyBorder="1" applyAlignment="1">
      <alignment horizontal="left" vertical="center"/>
    </xf>
    <xf numFmtId="41" fontId="11" fillId="0" borderId="51" xfId="2" applyFont="1" applyBorder="1" applyAlignment="1">
      <alignment horizontal="center" vertical="center"/>
    </xf>
    <xf numFmtId="41" fontId="11" fillId="0" borderId="0" xfId="2" applyFont="1" applyBorder="1" applyAlignment="1">
      <alignment horizontal="center" vertical="center"/>
    </xf>
    <xf numFmtId="41" fontId="11" fillId="0" borderId="86" xfId="2" applyFont="1" applyBorder="1" applyAlignment="1">
      <alignment horizontal="center" vertical="center"/>
    </xf>
    <xf numFmtId="41" fontId="11" fillId="0" borderId="17" xfId="2" applyFont="1" applyBorder="1" applyAlignment="1">
      <alignment horizontal="center" vertical="center"/>
    </xf>
    <xf numFmtId="41" fontId="11" fillId="0" borderId="87" xfId="2" applyFont="1" applyBorder="1" applyAlignment="1">
      <alignment horizontal="center" vertical="center"/>
    </xf>
    <xf numFmtId="0" fontId="11" fillId="0" borderId="82" xfId="3" applyFont="1" applyBorder="1" applyAlignment="1">
      <alignment horizontal="center" vertical="center"/>
    </xf>
    <xf numFmtId="0" fontId="11" fillId="0" borderId="83" xfId="3" applyFont="1" applyBorder="1" applyAlignment="1">
      <alignment horizontal="center" vertical="center"/>
    </xf>
    <xf numFmtId="0" fontId="11" fillId="0" borderId="30" xfId="3" applyFont="1" applyBorder="1" applyAlignment="1">
      <alignment horizontal="center" vertical="center"/>
    </xf>
    <xf numFmtId="0" fontId="11" fillId="0" borderId="68" xfId="3" applyFont="1" applyBorder="1" applyAlignment="1">
      <alignment horizontal="center" vertical="center"/>
    </xf>
    <xf numFmtId="0" fontId="11" fillId="0" borderId="36" xfId="3" applyFont="1" applyBorder="1" applyAlignment="1">
      <alignment horizontal="center" vertical="center"/>
    </xf>
    <xf numFmtId="0" fontId="11" fillId="0" borderId="37" xfId="3" applyFont="1" applyBorder="1" applyAlignment="1">
      <alignment horizontal="center" vertical="center"/>
    </xf>
    <xf numFmtId="0" fontId="11" fillId="0" borderId="71" xfId="3" applyFont="1" applyBorder="1" applyAlignment="1">
      <alignment horizontal="center" vertical="center"/>
    </xf>
    <xf numFmtId="0" fontId="11" fillId="0" borderId="72" xfId="3" applyFont="1" applyBorder="1" applyAlignment="1">
      <alignment horizontal="center" vertical="center"/>
    </xf>
    <xf numFmtId="0" fontId="14" fillId="3" borderId="6" xfId="3" applyFont="1" applyFill="1" applyBorder="1" applyAlignment="1">
      <alignment horizontal="center" vertical="center"/>
    </xf>
    <xf numFmtId="0" fontId="14" fillId="3" borderId="12" xfId="3" applyFont="1" applyFill="1" applyBorder="1" applyAlignment="1">
      <alignment horizontal="center" vertical="center"/>
    </xf>
    <xf numFmtId="0" fontId="14" fillId="3" borderId="14" xfId="3" applyFont="1" applyFill="1" applyBorder="1" applyAlignment="1">
      <alignment horizontal="center" vertical="center"/>
    </xf>
    <xf numFmtId="0" fontId="14" fillId="3" borderId="50" xfId="3" applyFont="1" applyFill="1" applyBorder="1" applyAlignment="1">
      <alignment horizontal="center" vertical="center"/>
    </xf>
    <xf numFmtId="0" fontId="14" fillId="3" borderId="18" xfId="3" applyFont="1" applyFill="1" applyBorder="1" applyAlignment="1">
      <alignment horizontal="center" vertical="center"/>
    </xf>
    <xf numFmtId="0" fontId="14" fillId="3" borderId="13" xfId="3" applyFont="1" applyFill="1" applyBorder="1" applyAlignment="1">
      <alignment horizontal="center" vertical="center"/>
    </xf>
    <xf numFmtId="0" fontId="14" fillId="3" borderId="51" xfId="3" applyFont="1" applyFill="1" applyBorder="1" applyAlignment="1">
      <alignment horizontal="center" vertical="center"/>
    </xf>
    <xf numFmtId="0" fontId="14" fillId="3" borderId="0" xfId="3" applyFont="1" applyFill="1" applyAlignment="1">
      <alignment horizontal="center" vertical="center"/>
    </xf>
    <xf numFmtId="0" fontId="14" fillId="3" borderId="15" xfId="3" applyFont="1" applyFill="1" applyBorder="1" applyAlignment="1">
      <alignment horizontal="center" vertical="center"/>
    </xf>
    <xf numFmtId="0" fontId="14" fillId="3" borderId="2" xfId="3" applyFont="1" applyFill="1" applyBorder="1" applyAlignment="1">
      <alignment horizontal="center" vertical="center"/>
    </xf>
    <xf numFmtId="0" fontId="14" fillId="3" borderId="16" xfId="3" applyFont="1" applyFill="1" applyBorder="1" applyAlignment="1">
      <alignment horizontal="center" vertical="center"/>
    </xf>
    <xf numFmtId="0" fontId="14" fillId="3" borderId="5" xfId="3" applyFont="1" applyFill="1" applyBorder="1" applyAlignment="1">
      <alignment horizontal="center" vertical="center"/>
    </xf>
    <xf numFmtId="0" fontId="14" fillId="3" borderId="52" xfId="3" applyFont="1" applyFill="1" applyBorder="1" applyAlignment="1">
      <alignment horizontal="center" vertical="center"/>
    </xf>
    <xf numFmtId="0" fontId="14" fillId="3" borderId="53" xfId="3" applyFont="1" applyFill="1" applyBorder="1" applyAlignment="1">
      <alignment horizontal="center" vertical="center"/>
    </xf>
    <xf numFmtId="0" fontId="14" fillId="0" borderId="26" xfId="3" applyFont="1" applyBorder="1" applyAlignment="1">
      <alignment horizontal="center" vertical="center"/>
    </xf>
    <xf numFmtId="0" fontId="14" fillId="0" borderId="73" xfId="3" applyFont="1" applyBorder="1" applyAlignment="1">
      <alignment horizontal="center" vertical="center"/>
    </xf>
    <xf numFmtId="41" fontId="14" fillId="0" borderId="74" xfId="2" applyFont="1" applyBorder="1" applyAlignment="1">
      <alignment horizontal="center" vertical="center"/>
    </xf>
    <xf numFmtId="41" fontId="14" fillId="0" borderId="73" xfId="2" applyFont="1" applyBorder="1" applyAlignment="1">
      <alignment horizontal="center" vertical="center"/>
    </xf>
    <xf numFmtId="41" fontId="14" fillId="0" borderId="75" xfId="2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4" fillId="4" borderId="10" xfId="3" applyFont="1" applyFill="1" applyBorder="1" applyAlignment="1">
      <alignment horizontal="center" vertical="center"/>
    </xf>
    <xf numFmtId="41" fontId="14" fillId="4" borderId="76" xfId="2" applyFont="1" applyFill="1" applyBorder="1" applyAlignment="1">
      <alignment horizontal="center" vertical="center"/>
    </xf>
    <xf numFmtId="41" fontId="14" fillId="4" borderId="77" xfId="2" applyFont="1" applyFill="1" applyBorder="1" applyAlignment="1">
      <alignment horizontal="center" vertical="center"/>
    </xf>
    <xf numFmtId="41" fontId="14" fillId="4" borderId="78" xfId="2" applyFont="1" applyFill="1" applyBorder="1" applyAlignment="1">
      <alignment horizontal="center" vertical="center"/>
    </xf>
    <xf numFmtId="41" fontId="14" fillId="4" borderId="79" xfId="2" applyFont="1" applyFill="1" applyBorder="1" applyAlignment="1">
      <alignment horizontal="center" vertical="center"/>
    </xf>
    <xf numFmtId="0" fontId="14" fillId="4" borderId="62" xfId="3" applyFont="1" applyFill="1" applyBorder="1" applyAlignment="1">
      <alignment horizontal="center" vertical="center"/>
    </xf>
    <xf numFmtId="0" fontId="14" fillId="4" borderId="63" xfId="3" applyFont="1" applyFill="1" applyBorder="1" applyAlignment="1">
      <alignment horizontal="center" vertical="center"/>
    </xf>
    <xf numFmtId="0" fontId="11" fillId="0" borderId="69" xfId="3" applyFont="1" applyBorder="1" applyAlignment="1">
      <alignment horizontal="center" vertical="center"/>
    </xf>
    <xf numFmtId="0" fontId="11" fillId="0" borderId="70" xfId="3" applyFont="1" applyBorder="1" applyAlignment="1">
      <alignment horizontal="center" vertical="center"/>
    </xf>
    <xf numFmtId="0" fontId="11" fillId="0" borderId="44" xfId="3" applyFont="1" applyBorder="1" applyAlignment="1">
      <alignment horizontal="left" vertical="center"/>
    </xf>
    <xf numFmtId="0" fontId="11" fillId="0" borderId="41" xfId="3" applyFont="1" applyBorder="1" applyAlignment="1">
      <alignment horizontal="left" vertical="center"/>
    </xf>
    <xf numFmtId="0" fontId="11" fillId="0" borderId="42" xfId="3" applyFont="1" applyBorder="1" applyAlignment="1">
      <alignment horizontal="left" vertical="center"/>
    </xf>
    <xf numFmtId="0" fontId="11" fillId="0" borderId="43" xfId="3" applyFont="1" applyBorder="1" applyAlignment="1">
      <alignment horizontal="center" vertical="center"/>
    </xf>
    <xf numFmtId="0" fontId="11" fillId="0" borderId="68" xfId="3" quotePrefix="1" applyFont="1" applyBorder="1" applyAlignment="1">
      <alignment horizontal="center" vertical="center"/>
    </xf>
    <xf numFmtId="0" fontId="11" fillId="0" borderId="38" xfId="3" applyFont="1" applyBorder="1" applyAlignment="1">
      <alignment horizontal="left" vertical="center"/>
    </xf>
    <xf numFmtId="0" fontId="11" fillId="0" borderId="35" xfId="3" applyFont="1" applyBorder="1" applyAlignment="1">
      <alignment horizontal="left" vertical="center"/>
    </xf>
    <xf numFmtId="0" fontId="11" fillId="0" borderId="36" xfId="3" applyFont="1" applyBorder="1" applyAlignment="1">
      <alignment horizontal="left" vertical="center"/>
    </xf>
    <xf numFmtId="0" fontId="11" fillId="0" borderId="29" xfId="3" applyFont="1" applyBorder="1" applyAlignment="1">
      <alignment horizontal="left" vertical="center"/>
    </xf>
    <xf numFmtId="0" fontId="11" fillId="0" borderId="56" xfId="3" applyFont="1" applyBorder="1" applyAlignment="1">
      <alignment horizontal="left" vertical="center"/>
    </xf>
    <xf numFmtId="0" fontId="11" fillId="0" borderId="30" xfId="3" applyFont="1" applyBorder="1" applyAlignment="1">
      <alignment horizontal="left" vertical="center"/>
    </xf>
    <xf numFmtId="0" fontId="11" fillId="0" borderId="67" xfId="3" applyFont="1" applyBorder="1" applyAlignment="1">
      <alignment horizontal="center" vertical="center"/>
    </xf>
    <xf numFmtId="0" fontId="11" fillId="0" borderId="62" xfId="3" applyFont="1" applyBorder="1" applyAlignment="1">
      <alignment horizontal="center" vertical="center"/>
    </xf>
    <xf numFmtId="0" fontId="14" fillId="0" borderId="8" xfId="3" applyFont="1" applyBorder="1" applyAlignment="1">
      <alignment horizontal="center" vertical="center"/>
    </xf>
    <xf numFmtId="0" fontId="11" fillId="0" borderId="54" xfId="3" applyFont="1" applyBorder="1" applyAlignment="1">
      <alignment horizontal="center" vertical="center" wrapText="1"/>
    </xf>
    <xf numFmtId="0" fontId="11" fillId="0" borderId="55" xfId="3" applyFont="1" applyBorder="1" applyAlignment="1">
      <alignment horizontal="center" vertical="center" wrapText="1"/>
    </xf>
    <xf numFmtId="0" fontId="11" fillId="0" borderId="21" xfId="3" applyFont="1" applyBorder="1" applyAlignment="1">
      <alignment horizontal="center" vertical="center" wrapText="1"/>
    </xf>
    <xf numFmtId="0" fontId="11" fillId="0" borderId="22" xfId="3" applyFont="1" applyBorder="1" applyAlignment="1">
      <alignment horizontal="center" vertical="center" wrapText="1"/>
    </xf>
    <xf numFmtId="0" fontId="11" fillId="0" borderId="62" xfId="3" applyFont="1" applyBorder="1" applyAlignment="1">
      <alignment horizontal="left" vertical="center"/>
    </xf>
    <xf numFmtId="0" fontId="11" fillId="0" borderId="63" xfId="3" applyFont="1" applyBorder="1" applyAlignment="1">
      <alignment horizontal="left" vertical="center"/>
    </xf>
    <xf numFmtId="0" fontId="11" fillId="0" borderId="64" xfId="3" applyFont="1" applyBorder="1" applyAlignment="1">
      <alignment horizontal="left" vertical="center"/>
    </xf>
    <xf numFmtId="41" fontId="11" fillId="0" borderId="62" xfId="2" applyFont="1" applyBorder="1" applyAlignment="1">
      <alignment horizontal="center" vertical="center"/>
    </xf>
    <xf numFmtId="41" fontId="11" fillId="0" borderId="63" xfId="2" applyFont="1" applyBorder="1" applyAlignment="1">
      <alignment horizontal="center" vertical="center"/>
    </xf>
    <xf numFmtId="41" fontId="11" fillId="0" borderId="65" xfId="2" applyFont="1" applyBorder="1" applyAlignment="1">
      <alignment horizontal="center" vertical="center"/>
    </xf>
    <xf numFmtId="41" fontId="11" fillId="0" borderId="64" xfId="2" applyFont="1" applyBorder="1" applyAlignment="1">
      <alignment horizontal="center" vertical="center"/>
    </xf>
    <xf numFmtId="41" fontId="11" fillId="0" borderId="66" xfId="2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10" xfId="3" applyFont="1" applyBorder="1" applyAlignment="1">
      <alignment horizontal="center" vertical="center"/>
    </xf>
    <xf numFmtId="0" fontId="11" fillId="0" borderId="0" xfId="3" applyFont="1" applyAlignment="1">
      <alignment horizontal="center" vertical="center" wrapText="1"/>
    </xf>
    <xf numFmtId="0" fontId="11" fillId="0" borderId="17" xfId="3" applyFont="1" applyBorder="1" applyAlignment="1">
      <alignment horizontal="center" vertical="center" wrapText="1"/>
    </xf>
    <xf numFmtId="0" fontId="11" fillId="0" borderId="32" xfId="3" applyFont="1" applyBorder="1" applyAlignment="1">
      <alignment horizontal="left" vertical="center"/>
    </xf>
    <xf numFmtId="0" fontId="11" fillId="0" borderId="27" xfId="3" applyFont="1" applyBorder="1" applyAlignment="1">
      <alignment horizontal="left" vertical="center"/>
    </xf>
    <xf numFmtId="0" fontId="11" fillId="0" borderId="28" xfId="3" applyFont="1" applyBorder="1" applyAlignment="1">
      <alignment horizontal="left" vertical="center"/>
    </xf>
    <xf numFmtId="41" fontId="11" fillId="0" borderId="32" xfId="2" applyFont="1" applyBorder="1" applyAlignment="1">
      <alignment horizontal="center" vertical="center"/>
    </xf>
    <xf numFmtId="41" fontId="11" fillId="0" borderId="27" xfId="2" applyFont="1" applyBorder="1" applyAlignment="1">
      <alignment horizontal="center" vertical="center"/>
    </xf>
    <xf numFmtId="41" fontId="11" fillId="0" borderId="33" xfId="2" applyFont="1" applyBorder="1" applyAlignment="1">
      <alignment horizontal="center" vertical="center"/>
    </xf>
    <xf numFmtId="41" fontId="11" fillId="0" borderId="28" xfId="2" applyFont="1" applyBorder="1" applyAlignment="1">
      <alignment horizontal="center" vertical="center"/>
    </xf>
    <xf numFmtId="41" fontId="11" fillId="0" borderId="34" xfId="2" applyFont="1" applyBorder="1" applyAlignment="1">
      <alignment horizontal="center" vertical="center"/>
    </xf>
    <xf numFmtId="0" fontId="11" fillId="0" borderId="32" xfId="3" applyFont="1" applyBorder="1" applyAlignment="1">
      <alignment horizontal="center" vertical="center"/>
    </xf>
    <xf numFmtId="0" fontId="11" fillId="0" borderId="27" xfId="3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41" fontId="9" fillId="0" borderId="43" xfId="2" quotePrefix="1" applyFont="1" applyBorder="1" applyAlignment="1">
      <alignment horizontal="center" vertical="center"/>
    </xf>
    <xf numFmtId="41" fontId="9" fillId="0" borderId="43" xfId="2" applyFont="1" applyBorder="1" applyAlignment="1">
      <alignment horizontal="center" vertical="center"/>
    </xf>
    <xf numFmtId="41" fontId="9" fillId="0" borderId="44" xfId="2" applyFont="1" applyBorder="1" applyAlignment="1">
      <alignment horizontal="center" vertical="center"/>
    </xf>
    <xf numFmtId="41" fontId="9" fillId="0" borderId="45" xfId="2" quotePrefix="1" applyFont="1" applyBorder="1" applyAlignment="1">
      <alignment horizontal="center" vertical="center"/>
    </xf>
    <xf numFmtId="41" fontId="9" fillId="0" borderId="46" xfId="2" applyFont="1" applyBorder="1" applyAlignment="1">
      <alignment horizontal="center" vertical="center"/>
    </xf>
    <xf numFmtId="41" fontId="9" fillId="0" borderId="47" xfId="2" applyFont="1" applyBorder="1" applyAlignment="1">
      <alignment horizontal="center" vertical="center"/>
    </xf>
    <xf numFmtId="41" fontId="9" fillId="0" borderId="48" xfId="2" applyFont="1" applyBorder="1" applyAlignment="1">
      <alignment horizontal="center" vertical="center"/>
    </xf>
    <xf numFmtId="41" fontId="9" fillId="0" borderId="49" xfId="2" applyFont="1" applyBorder="1" applyAlignment="1">
      <alignment horizontal="center" vertical="center"/>
    </xf>
    <xf numFmtId="41" fontId="9" fillId="0" borderId="41" xfId="2" applyFont="1" applyBorder="1" applyAlignment="1">
      <alignment horizontal="center" vertical="center"/>
    </xf>
    <xf numFmtId="41" fontId="9" fillId="0" borderId="42" xfId="2" applyFont="1" applyBorder="1" applyAlignment="1">
      <alignment horizontal="center" vertical="center"/>
    </xf>
    <xf numFmtId="0" fontId="11" fillId="0" borderId="55" xfId="3" applyFont="1" applyBorder="1" applyAlignment="1">
      <alignment horizontal="center" vertical="center"/>
    </xf>
    <xf numFmtId="41" fontId="9" fillId="0" borderId="39" xfId="2" applyFont="1" applyBorder="1" applyAlignment="1">
      <alignment horizontal="center" vertical="center"/>
    </xf>
    <xf numFmtId="41" fontId="9" fillId="0" borderId="36" xfId="2" applyFont="1" applyBorder="1" applyAlignment="1">
      <alignment horizontal="center" vertical="center"/>
    </xf>
    <xf numFmtId="41" fontId="9" fillId="0" borderId="38" xfId="2" applyFont="1" applyBorder="1" applyAlignment="1">
      <alignment horizontal="center" vertical="center"/>
    </xf>
    <xf numFmtId="41" fontId="9" fillId="0" borderId="35" xfId="2" applyFont="1" applyBorder="1" applyAlignment="1">
      <alignment horizontal="center" vertical="center"/>
    </xf>
    <xf numFmtId="41" fontId="9" fillId="0" borderId="40" xfId="2" applyFont="1" applyBorder="1" applyAlignment="1">
      <alignment horizontal="center" vertical="center"/>
    </xf>
    <xf numFmtId="41" fontId="9" fillId="0" borderId="38" xfId="2" applyFont="1" applyFill="1" applyBorder="1" applyAlignment="1">
      <alignment horizontal="center" vertical="center"/>
    </xf>
    <xf numFmtId="41" fontId="9" fillId="0" borderId="35" xfId="2" applyFont="1" applyFill="1" applyBorder="1" applyAlignment="1">
      <alignment horizontal="center" vertical="center"/>
    </xf>
    <xf numFmtId="41" fontId="9" fillId="0" borderId="36" xfId="2" applyFont="1" applyFill="1" applyBorder="1" applyAlignment="1">
      <alignment horizontal="center" vertical="center"/>
    </xf>
    <xf numFmtId="168" fontId="9" fillId="0" borderId="44" xfId="2" applyNumberFormat="1" applyFont="1" applyFill="1" applyBorder="1" applyAlignment="1">
      <alignment horizontal="center" vertical="center"/>
    </xf>
    <xf numFmtId="168" fontId="9" fillId="0" borderId="41" xfId="2" applyNumberFormat="1" applyFont="1" applyFill="1" applyBorder="1" applyAlignment="1">
      <alignment horizontal="center" vertical="center"/>
    </xf>
    <xf numFmtId="168" fontId="9" fillId="0" borderId="42" xfId="2" applyNumberFormat="1" applyFont="1" applyFill="1" applyBorder="1" applyAlignment="1">
      <alignment horizontal="center" vertical="center"/>
    </xf>
    <xf numFmtId="41" fontId="9" fillId="0" borderId="44" xfId="2" applyFont="1" applyFill="1" applyBorder="1" applyAlignment="1">
      <alignment horizontal="center" vertical="center"/>
    </xf>
    <xf numFmtId="41" fontId="9" fillId="0" borderId="41" xfId="2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41" fontId="9" fillId="0" borderId="29" xfId="2" applyFont="1" applyBorder="1" applyAlignment="1">
      <alignment horizontal="center" vertical="center"/>
    </xf>
    <xf numFmtId="41" fontId="9" fillId="0" borderId="30" xfId="2" applyFont="1" applyBorder="1" applyAlignment="1">
      <alignment horizontal="center" vertical="center"/>
    </xf>
    <xf numFmtId="41" fontId="9" fillId="0" borderId="31" xfId="2" applyFont="1" applyBorder="1" applyAlignment="1">
      <alignment horizontal="center" vertical="center"/>
    </xf>
    <xf numFmtId="41" fontId="9" fillId="0" borderId="32" xfId="2" applyFont="1" applyBorder="1" applyAlignment="1">
      <alignment horizontal="center" vertical="center"/>
    </xf>
    <xf numFmtId="41" fontId="9" fillId="0" borderId="33" xfId="2" applyFont="1" applyBorder="1" applyAlignment="1">
      <alignment horizontal="center" vertical="center"/>
    </xf>
    <xf numFmtId="41" fontId="9" fillId="0" borderId="28" xfId="2" applyFont="1" applyBorder="1" applyAlignment="1">
      <alignment horizontal="center" vertical="center"/>
    </xf>
    <xf numFmtId="41" fontId="9" fillId="0" borderId="27" xfId="2" applyFont="1" applyBorder="1" applyAlignment="1">
      <alignment horizontal="center" vertical="center"/>
    </xf>
    <xf numFmtId="41" fontId="9" fillId="0" borderId="34" xfId="2" applyFont="1" applyBorder="1" applyAlignment="1">
      <alignment horizontal="center" vertical="center"/>
    </xf>
    <xf numFmtId="41" fontId="9" fillId="0" borderId="32" xfId="2" applyFont="1" applyFill="1" applyBorder="1" applyAlignment="1">
      <alignment horizontal="center" vertical="center"/>
    </xf>
    <xf numFmtId="41" fontId="9" fillId="0" borderId="27" xfId="2" applyFont="1" applyFill="1" applyBorder="1" applyAlignment="1">
      <alignment horizontal="center" vertical="center"/>
    </xf>
    <xf numFmtId="41" fontId="9" fillId="0" borderId="28" xfId="2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41" fontId="9" fillId="0" borderId="37" xfId="2" applyFont="1" applyBorder="1" applyAlignment="1">
      <alignment horizontal="center" vertical="center"/>
    </xf>
  </cellXfs>
  <cellStyles count="5">
    <cellStyle name="쉼표 [0]" xfId="4" builtinId="6"/>
    <cellStyle name="쉼표 [0] 2" xfId="2" xr:uid="{00000000-0005-0000-0000-000001000000}"/>
    <cellStyle name="표준" xfId="0" builtinId="0"/>
    <cellStyle name="표준 2" xfId="1" xr:uid="{00000000-0005-0000-0000-000004000000}"/>
    <cellStyle name="표준 6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ko-KR" altLang="en-US" sz="1000"/>
              <a:t>부산물 및 폐기물 매각</a:t>
            </a:r>
            <a:r>
              <a:rPr lang="en-US" altLang="ko-KR" sz="1000"/>
              <a:t>/</a:t>
            </a:r>
            <a:r>
              <a:rPr lang="ko-KR" altLang="en-US" sz="1000"/>
              <a:t>처리금액 추이</a:t>
            </a:r>
          </a:p>
        </c:rich>
      </c:tx>
      <c:layout>
        <c:manualLayout>
          <c:xMode val="edge"/>
          <c:yMode val="edge"/>
          <c:x val="0.21437134160847343"/>
          <c:y val="3.4852446785785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027160498442042E-2"/>
          <c:y val="0.2462289590782156"/>
          <c:w val="0.86144480975481308"/>
          <c:h val="0.6720966547423303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그래프!$A$28</c:f>
              <c:strCache>
                <c:ptCount val="1"/>
                <c:pt idx="0">
                  <c:v>이익금액</c:v>
                </c:pt>
              </c:strCache>
            </c:strRef>
          </c:tx>
          <c:spPr>
            <a:ln w="19050">
              <a:prstDash val="sysDash"/>
            </a:ln>
          </c:spPr>
          <c:invertIfNegative val="0"/>
          <c:dLbls>
            <c:dLbl>
              <c:idx val="4430"/>
              <c:layout>
                <c:manualLayout>
                  <c:x val="1.6845935058084972E-3"/>
                  <c:y val="-3.7941049423670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49-4D65-AC2E-09F7B255D2BD}"/>
                </c:ext>
              </c:extLst>
            </c:dLbl>
            <c:dLbl>
              <c:idx val="4443"/>
              <c:layout>
                <c:manualLayout>
                  <c:x val="1.6845935058084972E-3"/>
                  <c:y val="-3.7941049423670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49-4D65-AC2E-09F7B255D2BD}"/>
                </c:ext>
              </c:extLst>
            </c:dLbl>
            <c:dLbl>
              <c:idx val="4447"/>
              <c:layout>
                <c:manualLayout>
                  <c:x val="1.6845935058084972E-3"/>
                  <c:y val="-3.7941049423670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49-4D65-AC2E-09F7B255D2BD}"/>
                </c:ext>
              </c:extLst>
            </c:dLbl>
            <c:dLbl>
              <c:idx val="4450"/>
              <c:layout>
                <c:manualLayout>
                  <c:x val="1.6845935058084972E-3"/>
                  <c:y val="-3.7941049423670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49-4D65-AC2E-09F7B255D2BD}"/>
                </c:ext>
              </c:extLst>
            </c:dLbl>
            <c:dLbl>
              <c:idx val="4452"/>
              <c:layout>
                <c:manualLayout>
                  <c:x val="1.6845935058084972E-3"/>
                  <c:y val="-3.7941049423670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149-4D65-AC2E-09F7B255D2BD}"/>
                </c:ext>
              </c:extLst>
            </c:dLbl>
            <c:dLbl>
              <c:idx val="4456"/>
              <c:layout>
                <c:manualLayout>
                  <c:x val="0"/>
                  <c:y val="-5.21300168144492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49-4D65-AC2E-09F7B255D2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8"/>
              <c:pt idx="0">
                <c:v>'25.7월</c:v>
              </c:pt>
              <c:pt idx="1">
                <c:v>'25.8월</c:v>
              </c:pt>
              <c:pt idx="2">
                <c:v>'25.9월</c:v>
              </c:pt>
              <c:pt idx="3">
                <c:v>'25.10월</c:v>
              </c:pt>
              <c:pt idx="4">
                <c:v>'25.11월</c:v>
              </c:pt>
              <c:pt idx="5">
                <c:v>'25.12월</c:v>
              </c:pt>
              <c:pt idx="6">
                <c:v>'26.1월</c:v>
              </c:pt>
              <c:pt idx="7">
                <c:v>'26.2월</c:v>
              </c:pt>
              <c:pt idx="8">
                <c:v>'26.3월</c:v>
              </c:pt>
              <c:pt idx="9">
                <c:v>'26.4월</c:v>
              </c:pt>
              <c:pt idx="10">
                <c:v>'26.5월</c:v>
              </c:pt>
              <c:pt idx="11">
                <c:v>'26.6월</c:v>
              </c:pt>
              <c:pt idx="12">
                <c:v>'26.7월</c:v>
              </c:pt>
              <c:pt idx="13">
                <c:v>'26.8월</c:v>
              </c:pt>
              <c:pt idx="14">
                <c:v>'26.9월</c:v>
              </c:pt>
              <c:pt idx="15">
                <c:v>'26.10월</c:v>
              </c:pt>
              <c:pt idx="16">
                <c:v>'26.11월</c:v>
              </c:pt>
              <c:pt idx="17">
                <c:v>'26.12월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그래프!$CO$28:$DL$28</c15:sqref>
                  </c15:fullRef>
                </c:ext>
              </c:extLst>
              <c:f>그래프!$CO$28:$DL$28</c:f>
              <c:numCache>
                <c:formatCode>_(* #,##0.00_);_(* \(#,##0.00\);_(* "-"??_);_(@_)</c:formatCode>
                <c:ptCount val="18"/>
                <c:pt idx="0">
                  <c:v>0.18625</c:v>
                </c:pt>
                <c:pt idx="1">
                  <c:v>-4.7262000000000004</c:v>
                </c:pt>
                <c:pt idx="2">
                  <c:v>3.2086999999999999</c:v>
                </c:pt>
                <c:pt idx="3">
                  <c:v>3.5097</c:v>
                </c:pt>
                <c:pt idx="4">
                  <c:v>6.6484899999999998</c:v>
                </c:pt>
                <c:pt idx="5">
                  <c:v>1.6331199999999999</c:v>
                </c:pt>
                <c:pt idx="6">
                  <c:v>-3.1429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49-4D65-AC2E-09F7B255D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5"/>
        <c:axId val="11094400"/>
        <c:axId val="2101697392"/>
      </c:barChart>
      <c:lineChart>
        <c:grouping val="standard"/>
        <c:varyColors val="0"/>
        <c:ser>
          <c:idx val="0"/>
          <c:order val="0"/>
          <c:tx>
            <c:strRef>
              <c:f>그래프!$A$25</c:f>
              <c:strCache>
                <c:ptCount val="1"/>
                <c:pt idx="0">
                  <c:v>매각금액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그래프!$O$23:$DV$23</c15:sqref>
                  </c15:fullRef>
                </c:ext>
              </c:extLst>
              <c:f>(그래프!$O$23:$CN$23,그래프!$CU$23:$DV$23)</c:f>
              <c:strCache>
                <c:ptCount val="28"/>
                <c:pt idx="0">
                  <c:v>'25.7월</c:v>
                </c:pt>
                <c:pt idx="1">
                  <c:v>'25.8월</c:v>
                </c:pt>
                <c:pt idx="2">
                  <c:v>'25.9월</c:v>
                </c:pt>
                <c:pt idx="3">
                  <c:v>'25.10월</c:v>
                </c:pt>
                <c:pt idx="4">
                  <c:v>'25.11월</c:v>
                </c:pt>
                <c:pt idx="5">
                  <c:v>'25.12월</c:v>
                </c:pt>
                <c:pt idx="6">
                  <c:v>'26.1월</c:v>
                </c:pt>
                <c:pt idx="7">
                  <c:v>'26.2월</c:v>
                </c:pt>
                <c:pt idx="8">
                  <c:v>'26.3월</c:v>
                </c:pt>
                <c:pt idx="9">
                  <c:v>'26.4월</c:v>
                </c:pt>
                <c:pt idx="10">
                  <c:v>'26.5월</c:v>
                </c:pt>
                <c:pt idx="11">
                  <c:v>'26.6월</c:v>
                </c:pt>
                <c:pt idx="12">
                  <c:v>'26.7월</c:v>
                </c:pt>
                <c:pt idx="13">
                  <c:v>'26.8월</c:v>
                </c:pt>
                <c:pt idx="14">
                  <c:v>'26.9월</c:v>
                </c:pt>
                <c:pt idx="15">
                  <c:v>'26.10월</c:v>
                </c:pt>
                <c:pt idx="16">
                  <c:v>'26.11월</c:v>
                </c:pt>
                <c:pt idx="17">
                  <c:v>'26.12월</c:v>
                </c:pt>
                <c:pt idx="18">
                  <c:v>2026년 평균</c:v>
                </c:pt>
                <c:pt idx="19">
                  <c:v>2026년 합계</c:v>
                </c:pt>
                <c:pt idx="20">
                  <c:v>2025년 평균</c:v>
                </c:pt>
                <c:pt idx="21">
                  <c:v>2025년 합계</c:v>
                </c:pt>
                <c:pt idx="22">
                  <c:v>2024년 평균</c:v>
                </c:pt>
                <c:pt idx="23">
                  <c:v>2024년 합계</c:v>
                </c:pt>
                <c:pt idx="24">
                  <c:v>2023년 평균</c:v>
                </c:pt>
                <c:pt idx="25">
                  <c:v>2023년 합계</c:v>
                </c:pt>
                <c:pt idx="26">
                  <c:v>2022년 평균</c:v>
                </c:pt>
                <c:pt idx="27">
                  <c:v>2022년 합계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그래프!$CO$25:$DL$25</c15:sqref>
                  </c15:fullRef>
                </c:ext>
              </c:extLst>
              <c:f>그래프!$CO$25:$DL$25</c:f>
              <c:numCache>
                <c:formatCode>_(* #,##0.00_);_(* \(#,##0.00\);_(* "-"??_);_(@_)</c:formatCode>
                <c:ptCount val="18"/>
                <c:pt idx="0">
                  <c:v>8.2782</c:v>
                </c:pt>
                <c:pt idx="1">
                  <c:v>1.6042000000000001</c:v>
                </c:pt>
                <c:pt idx="2">
                  <c:v>10.594799999999999</c:v>
                </c:pt>
                <c:pt idx="3">
                  <c:v>8.016</c:v>
                </c:pt>
                <c:pt idx="4">
                  <c:v>18.04824</c:v>
                </c:pt>
                <c:pt idx="5">
                  <c:v>12.80392</c:v>
                </c:pt>
                <c:pt idx="6">
                  <c:v>8.1375499999999992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49-4D65-AC2E-09F7B255D2BD}"/>
            </c:ext>
          </c:extLst>
        </c:ser>
        <c:ser>
          <c:idx val="1"/>
          <c:order val="1"/>
          <c:tx>
            <c:strRef>
              <c:f>그래프!$A$27</c:f>
              <c:strCache>
                <c:ptCount val="1"/>
                <c:pt idx="0">
                  <c:v>처리금액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그래프!$O$23:$DV$23</c15:sqref>
                  </c15:fullRef>
                </c:ext>
              </c:extLst>
              <c:f>(그래프!$O$23:$CN$23,그래프!$CU$23:$DV$23)</c:f>
              <c:strCache>
                <c:ptCount val="28"/>
                <c:pt idx="0">
                  <c:v>'25.7월</c:v>
                </c:pt>
                <c:pt idx="1">
                  <c:v>'25.8월</c:v>
                </c:pt>
                <c:pt idx="2">
                  <c:v>'25.9월</c:v>
                </c:pt>
                <c:pt idx="3">
                  <c:v>'25.10월</c:v>
                </c:pt>
                <c:pt idx="4">
                  <c:v>'25.11월</c:v>
                </c:pt>
                <c:pt idx="5">
                  <c:v>'25.12월</c:v>
                </c:pt>
                <c:pt idx="6">
                  <c:v>'26.1월</c:v>
                </c:pt>
                <c:pt idx="7">
                  <c:v>'26.2월</c:v>
                </c:pt>
                <c:pt idx="8">
                  <c:v>'26.3월</c:v>
                </c:pt>
                <c:pt idx="9">
                  <c:v>'26.4월</c:v>
                </c:pt>
                <c:pt idx="10">
                  <c:v>'26.5월</c:v>
                </c:pt>
                <c:pt idx="11">
                  <c:v>'26.6월</c:v>
                </c:pt>
                <c:pt idx="12">
                  <c:v>'26.7월</c:v>
                </c:pt>
                <c:pt idx="13">
                  <c:v>'26.8월</c:v>
                </c:pt>
                <c:pt idx="14">
                  <c:v>'26.9월</c:v>
                </c:pt>
                <c:pt idx="15">
                  <c:v>'26.10월</c:v>
                </c:pt>
                <c:pt idx="16">
                  <c:v>'26.11월</c:v>
                </c:pt>
                <c:pt idx="17">
                  <c:v>'26.12월</c:v>
                </c:pt>
                <c:pt idx="18">
                  <c:v>2026년 평균</c:v>
                </c:pt>
                <c:pt idx="19">
                  <c:v>2026년 합계</c:v>
                </c:pt>
                <c:pt idx="20">
                  <c:v>2025년 평균</c:v>
                </c:pt>
                <c:pt idx="21">
                  <c:v>2025년 합계</c:v>
                </c:pt>
                <c:pt idx="22">
                  <c:v>2024년 평균</c:v>
                </c:pt>
                <c:pt idx="23">
                  <c:v>2024년 합계</c:v>
                </c:pt>
                <c:pt idx="24">
                  <c:v>2023년 평균</c:v>
                </c:pt>
                <c:pt idx="25">
                  <c:v>2023년 합계</c:v>
                </c:pt>
                <c:pt idx="26">
                  <c:v>2022년 평균</c:v>
                </c:pt>
                <c:pt idx="27">
                  <c:v>2022년 합계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그래프!$CO$27:$DL$27</c15:sqref>
                  </c15:fullRef>
                </c:ext>
              </c:extLst>
              <c:f>그래프!$CO$27:$DL$27</c:f>
              <c:numCache>
                <c:formatCode>_(* #,##0.00_);_(* \(#,##0.00\);_(* "-"??_);_(@_)</c:formatCode>
                <c:ptCount val="18"/>
                <c:pt idx="0">
                  <c:v>-8.0919500000000006</c:v>
                </c:pt>
                <c:pt idx="1">
                  <c:v>-6.3304</c:v>
                </c:pt>
                <c:pt idx="2">
                  <c:v>-7.3860999999999999</c:v>
                </c:pt>
                <c:pt idx="3">
                  <c:v>-4.5063000000000004</c:v>
                </c:pt>
                <c:pt idx="4">
                  <c:v>-11.399749999999999</c:v>
                </c:pt>
                <c:pt idx="5">
                  <c:v>-11.1708</c:v>
                </c:pt>
                <c:pt idx="6">
                  <c:v>-11.28045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49-4D65-AC2E-09F7B255D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4400"/>
        <c:axId val="2101697392"/>
      </c:lineChart>
      <c:catAx>
        <c:axId val="11094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 anchor="ctr" anchorCtr="1"/>
          <a:lstStyle/>
          <a:p>
            <a:pPr>
              <a:defRPr sz="800">
                <a:solidFill>
                  <a:srgbClr val="7030A0"/>
                </a:solidFill>
              </a:defRPr>
            </a:pPr>
            <a:endParaRPr lang="ko-KR"/>
          </a:p>
        </c:txPr>
        <c:crossAx val="2101697392"/>
        <c:crosses val="autoZero"/>
        <c:auto val="1"/>
        <c:lblAlgn val="ctr"/>
        <c:lblOffset val="100"/>
        <c:noMultiLvlLbl val="0"/>
      </c:catAx>
      <c:valAx>
        <c:axId val="210169739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800"/>
                </a:pPr>
                <a:r>
                  <a:rPr lang="ko-KR" altLang="en-US" sz="800"/>
                  <a:t>금액 </a:t>
                </a:r>
                <a:r>
                  <a:rPr lang="en-US" altLang="ko-KR" sz="800"/>
                  <a:t>: </a:t>
                </a:r>
                <a:r>
                  <a:rPr lang="ko-KR" altLang="en-US" sz="800"/>
                  <a:t>백만원</a:t>
                </a:r>
              </a:p>
            </c:rich>
          </c:tx>
          <c:layout>
            <c:manualLayout>
              <c:xMode val="edge"/>
              <c:yMode val="edge"/>
              <c:x val="2.1346915156565439E-2"/>
              <c:y val="0.11846258848610446"/>
            </c:manualLayout>
          </c:layout>
          <c:overlay val="0"/>
        </c:title>
        <c:numFmt formatCode="_(* #,##0_);_(* \(#,##0\);_(* &quot;-&quot;_);_(@_)" sourceLinked="0"/>
        <c:majorTickMark val="none"/>
        <c:minorTickMark val="none"/>
        <c:tickLblPos val="nextTo"/>
        <c:crossAx val="1109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567479674796752"/>
          <c:y val="2.0171201610574858E-3"/>
          <c:w val="0.27857339131530851"/>
          <c:h val="0.21911863322761324"/>
        </c:manualLayout>
      </c:layout>
      <c:overlay val="0"/>
      <c:txPr>
        <a:bodyPr/>
        <a:lstStyle/>
        <a:p>
          <a:pPr>
            <a:defRPr sz="700"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000000000000888" l="0.70000000000000062" r="0.70000000000000062" t="0.7500000000000088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ko-KR" altLang="en-US" sz="1000"/>
              <a:t>부산물 및 폐기물 매각</a:t>
            </a:r>
            <a:r>
              <a:rPr lang="en-US" altLang="ko-KR" sz="1000"/>
              <a:t>/</a:t>
            </a:r>
            <a:r>
              <a:rPr lang="ko-KR" altLang="en-US" sz="1000"/>
              <a:t>처리금액 추이</a:t>
            </a:r>
          </a:p>
        </c:rich>
      </c:tx>
      <c:layout>
        <c:manualLayout>
          <c:xMode val="edge"/>
          <c:yMode val="edge"/>
          <c:x val="0.21437134160847343"/>
          <c:y val="3.4852446785785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027160498442042E-2"/>
          <c:y val="0.2462289590782156"/>
          <c:w val="0.86144480975481308"/>
          <c:h val="0.6720966547423303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그래프!$A$28</c:f>
              <c:strCache>
                <c:ptCount val="1"/>
                <c:pt idx="0">
                  <c:v>이익금액</c:v>
                </c:pt>
              </c:strCache>
            </c:strRef>
          </c:tx>
          <c:spPr>
            <a:ln w="19050">
              <a:prstDash val="sysDash"/>
            </a:ln>
          </c:spPr>
          <c:invertIfNegative val="0"/>
          <c:dLbls>
            <c:dLbl>
              <c:idx val="4430"/>
              <c:layout>
                <c:manualLayout>
                  <c:x val="1.6845935058084972E-3"/>
                  <c:y val="-3.7941049423670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D73-4AE0-9C36-8ED216E99F1D}"/>
                </c:ext>
              </c:extLst>
            </c:dLbl>
            <c:dLbl>
              <c:idx val="4443"/>
              <c:layout>
                <c:manualLayout>
                  <c:x val="1.6845935058084972E-3"/>
                  <c:y val="-3.7941049423670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73-4AE0-9C36-8ED216E99F1D}"/>
                </c:ext>
              </c:extLst>
            </c:dLbl>
            <c:dLbl>
              <c:idx val="4447"/>
              <c:layout>
                <c:manualLayout>
                  <c:x val="1.6845935058084972E-3"/>
                  <c:y val="-3.7941049423670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73-4AE0-9C36-8ED216E99F1D}"/>
                </c:ext>
              </c:extLst>
            </c:dLbl>
            <c:dLbl>
              <c:idx val="4450"/>
              <c:layout>
                <c:manualLayout>
                  <c:x val="1.6845935058084972E-3"/>
                  <c:y val="-3.7941049423670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73-4AE0-9C36-8ED216E99F1D}"/>
                </c:ext>
              </c:extLst>
            </c:dLbl>
            <c:dLbl>
              <c:idx val="4452"/>
              <c:layout>
                <c:manualLayout>
                  <c:x val="1.6845935058084972E-3"/>
                  <c:y val="-3.7941049423670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73-4AE0-9C36-8ED216E99F1D}"/>
                </c:ext>
              </c:extLst>
            </c:dLbl>
            <c:dLbl>
              <c:idx val="4456"/>
              <c:layout>
                <c:manualLayout>
                  <c:x val="0"/>
                  <c:y val="-5.21300168144492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73-4AE0-9C36-8ED216E99F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8"/>
              <c:pt idx="0">
                <c:v>'25.7월</c:v>
              </c:pt>
              <c:pt idx="1">
                <c:v>'25.8월</c:v>
              </c:pt>
              <c:pt idx="2">
                <c:v>'25.9월</c:v>
              </c:pt>
              <c:pt idx="3">
                <c:v>'25.10월</c:v>
              </c:pt>
              <c:pt idx="4">
                <c:v>'25.11월</c:v>
              </c:pt>
              <c:pt idx="5">
                <c:v>'25.12월</c:v>
              </c:pt>
              <c:pt idx="6">
                <c:v>'26.1월</c:v>
              </c:pt>
              <c:pt idx="7">
                <c:v>'26.2월</c:v>
              </c:pt>
              <c:pt idx="8">
                <c:v>'26.3월</c:v>
              </c:pt>
              <c:pt idx="9">
                <c:v>'26.4월</c:v>
              </c:pt>
              <c:pt idx="10">
                <c:v>'26.5월</c:v>
              </c:pt>
              <c:pt idx="11">
                <c:v>'26.6월</c:v>
              </c:pt>
              <c:pt idx="12">
                <c:v>'26.7월</c:v>
              </c:pt>
              <c:pt idx="13">
                <c:v>'26.8월</c:v>
              </c:pt>
              <c:pt idx="14">
                <c:v>'26.9월</c:v>
              </c:pt>
              <c:pt idx="15">
                <c:v>'26.10월</c:v>
              </c:pt>
              <c:pt idx="16">
                <c:v>'26.11월</c:v>
              </c:pt>
              <c:pt idx="17">
                <c:v>'26.12월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그래프!$CO$28:$DL$28</c15:sqref>
                  </c15:fullRef>
                </c:ext>
              </c:extLst>
              <c:f>그래프!$CO$28:$DL$28</c:f>
              <c:numCache>
                <c:formatCode>_(* #,##0.00_);_(* \(#,##0.00\);_(* "-"??_);_(@_)</c:formatCode>
                <c:ptCount val="18"/>
                <c:pt idx="0">
                  <c:v>0.18625</c:v>
                </c:pt>
                <c:pt idx="1">
                  <c:v>-4.7262000000000004</c:v>
                </c:pt>
                <c:pt idx="2">
                  <c:v>3.2086999999999999</c:v>
                </c:pt>
                <c:pt idx="3">
                  <c:v>3.5097</c:v>
                </c:pt>
                <c:pt idx="4">
                  <c:v>6.6484899999999998</c:v>
                </c:pt>
                <c:pt idx="5">
                  <c:v>1.6331199999999999</c:v>
                </c:pt>
                <c:pt idx="6">
                  <c:v>-3.1429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73-4AE0-9C36-8ED216E99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5"/>
        <c:axId val="11094400"/>
        <c:axId val="2101697392"/>
      </c:barChart>
      <c:lineChart>
        <c:grouping val="standard"/>
        <c:varyColors val="0"/>
        <c:ser>
          <c:idx val="0"/>
          <c:order val="0"/>
          <c:tx>
            <c:strRef>
              <c:f>그래프!$A$25</c:f>
              <c:strCache>
                <c:ptCount val="1"/>
                <c:pt idx="0">
                  <c:v>매각금액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그래프!$O$23:$DV$23</c15:sqref>
                  </c15:fullRef>
                </c:ext>
              </c:extLst>
              <c:f>(그래프!$O$23:$CN$23,그래프!$CU$23:$DV$23)</c:f>
              <c:strCache>
                <c:ptCount val="28"/>
                <c:pt idx="0">
                  <c:v>'25.7월</c:v>
                </c:pt>
                <c:pt idx="1">
                  <c:v>'25.8월</c:v>
                </c:pt>
                <c:pt idx="2">
                  <c:v>'25.9월</c:v>
                </c:pt>
                <c:pt idx="3">
                  <c:v>'25.10월</c:v>
                </c:pt>
                <c:pt idx="4">
                  <c:v>'25.11월</c:v>
                </c:pt>
                <c:pt idx="5">
                  <c:v>'25.12월</c:v>
                </c:pt>
                <c:pt idx="6">
                  <c:v>'26.1월</c:v>
                </c:pt>
                <c:pt idx="7">
                  <c:v>'26.2월</c:v>
                </c:pt>
                <c:pt idx="8">
                  <c:v>'26.3월</c:v>
                </c:pt>
                <c:pt idx="9">
                  <c:v>'26.4월</c:v>
                </c:pt>
                <c:pt idx="10">
                  <c:v>'26.5월</c:v>
                </c:pt>
                <c:pt idx="11">
                  <c:v>'26.6월</c:v>
                </c:pt>
                <c:pt idx="12">
                  <c:v>'26.7월</c:v>
                </c:pt>
                <c:pt idx="13">
                  <c:v>'26.8월</c:v>
                </c:pt>
                <c:pt idx="14">
                  <c:v>'26.9월</c:v>
                </c:pt>
                <c:pt idx="15">
                  <c:v>'26.10월</c:v>
                </c:pt>
                <c:pt idx="16">
                  <c:v>'26.11월</c:v>
                </c:pt>
                <c:pt idx="17">
                  <c:v>'26.12월</c:v>
                </c:pt>
                <c:pt idx="18">
                  <c:v>2026년 평균</c:v>
                </c:pt>
                <c:pt idx="19">
                  <c:v>2026년 합계</c:v>
                </c:pt>
                <c:pt idx="20">
                  <c:v>2025년 평균</c:v>
                </c:pt>
                <c:pt idx="21">
                  <c:v>2025년 합계</c:v>
                </c:pt>
                <c:pt idx="22">
                  <c:v>2024년 평균</c:v>
                </c:pt>
                <c:pt idx="23">
                  <c:v>2024년 합계</c:v>
                </c:pt>
                <c:pt idx="24">
                  <c:v>2023년 평균</c:v>
                </c:pt>
                <c:pt idx="25">
                  <c:v>2023년 합계</c:v>
                </c:pt>
                <c:pt idx="26">
                  <c:v>2022년 평균</c:v>
                </c:pt>
                <c:pt idx="27">
                  <c:v>2022년 합계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그래프!$CO$25:$DL$25</c15:sqref>
                  </c15:fullRef>
                </c:ext>
              </c:extLst>
              <c:f>그래프!$CO$25:$DL$25</c:f>
              <c:numCache>
                <c:formatCode>_(* #,##0.00_);_(* \(#,##0.00\);_(* "-"??_);_(@_)</c:formatCode>
                <c:ptCount val="18"/>
                <c:pt idx="0">
                  <c:v>8.2782</c:v>
                </c:pt>
                <c:pt idx="1">
                  <c:v>1.6042000000000001</c:v>
                </c:pt>
                <c:pt idx="2">
                  <c:v>10.594799999999999</c:v>
                </c:pt>
                <c:pt idx="3">
                  <c:v>8.016</c:v>
                </c:pt>
                <c:pt idx="4">
                  <c:v>18.04824</c:v>
                </c:pt>
                <c:pt idx="5">
                  <c:v>12.80392</c:v>
                </c:pt>
                <c:pt idx="6">
                  <c:v>8.1375499999999992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73-4AE0-9C36-8ED216E99F1D}"/>
            </c:ext>
          </c:extLst>
        </c:ser>
        <c:ser>
          <c:idx val="1"/>
          <c:order val="1"/>
          <c:tx>
            <c:strRef>
              <c:f>그래프!$A$27</c:f>
              <c:strCache>
                <c:ptCount val="1"/>
                <c:pt idx="0">
                  <c:v>처리금액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그래프!$O$23:$DV$23</c15:sqref>
                  </c15:fullRef>
                </c:ext>
              </c:extLst>
              <c:f>(그래프!$O$23:$CN$23,그래프!$CU$23:$DV$23)</c:f>
              <c:strCache>
                <c:ptCount val="28"/>
                <c:pt idx="0">
                  <c:v>'25.7월</c:v>
                </c:pt>
                <c:pt idx="1">
                  <c:v>'25.8월</c:v>
                </c:pt>
                <c:pt idx="2">
                  <c:v>'25.9월</c:v>
                </c:pt>
                <c:pt idx="3">
                  <c:v>'25.10월</c:v>
                </c:pt>
                <c:pt idx="4">
                  <c:v>'25.11월</c:v>
                </c:pt>
                <c:pt idx="5">
                  <c:v>'25.12월</c:v>
                </c:pt>
                <c:pt idx="6">
                  <c:v>'26.1월</c:v>
                </c:pt>
                <c:pt idx="7">
                  <c:v>'26.2월</c:v>
                </c:pt>
                <c:pt idx="8">
                  <c:v>'26.3월</c:v>
                </c:pt>
                <c:pt idx="9">
                  <c:v>'26.4월</c:v>
                </c:pt>
                <c:pt idx="10">
                  <c:v>'26.5월</c:v>
                </c:pt>
                <c:pt idx="11">
                  <c:v>'26.6월</c:v>
                </c:pt>
                <c:pt idx="12">
                  <c:v>'26.7월</c:v>
                </c:pt>
                <c:pt idx="13">
                  <c:v>'26.8월</c:v>
                </c:pt>
                <c:pt idx="14">
                  <c:v>'26.9월</c:v>
                </c:pt>
                <c:pt idx="15">
                  <c:v>'26.10월</c:v>
                </c:pt>
                <c:pt idx="16">
                  <c:v>'26.11월</c:v>
                </c:pt>
                <c:pt idx="17">
                  <c:v>'26.12월</c:v>
                </c:pt>
                <c:pt idx="18">
                  <c:v>2026년 평균</c:v>
                </c:pt>
                <c:pt idx="19">
                  <c:v>2026년 합계</c:v>
                </c:pt>
                <c:pt idx="20">
                  <c:v>2025년 평균</c:v>
                </c:pt>
                <c:pt idx="21">
                  <c:v>2025년 합계</c:v>
                </c:pt>
                <c:pt idx="22">
                  <c:v>2024년 평균</c:v>
                </c:pt>
                <c:pt idx="23">
                  <c:v>2024년 합계</c:v>
                </c:pt>
                <c:pt idx="24">
                  <c:v>2023년 평균</c:v>
                </c:pt>
                <c:pt idx="25">
                  <c:v>2023년 합계</c:v>
                </c:pt>
                <c:pt idx="26">
                  <c:v>2022년 평균</c:v>
                </c:pt>
                <c:pt idx="27">
                  <c:v>2022년 합계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그래프!$CO$27:$DL$27</c15:sqref>
                  </c15:fullRef>
                </c:ext>
              </c:extLst>
              <c:f>그래프!$CO$27:$DL$27</c:f>
              <c:numCache>
                <c:formatCode>_(* #,##0.00_);_(* \(#,##0.00\);_(* "-"??_);_(@_)</c:formatCode>
                <c:ptCount val="18"/>
                <c:pt idx="0">
                  <c:v>-8.0919500000000006</c:v>
                </c:pt>
                <c:pt idx="1">
                  <c:v>-6.3304</c:v>
                </c:pt>
                <c:pt idx="2">
                  <c:v>-7.3860999999999999</c:v>
                </c:pt>
                <c:pt idx="3">
                  <c:v>-4.5063000000000004</c:v>
                </c:pt>
                <c:pt idx="4">
                  <c:v>-11.399749999999999</c:v>
                </c:pt>
                <c:pt idx="5">
                  <c:v>-11.1708</c:v>
                </c:pt>
                <c:pt idx="6">
                  <c:v>-11.28045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73-4AE0-9C36-8ED216E99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4400"/>
        <c:axId val="2101697392"/>
      </c:lineChart>
      <c:catAx>
        <c:axId val="11094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 anchor="ctr" anchorCtr="1"/>
          <a:lstStyle/>
          <a:p>
            <a:pPr>
              <a:defRPr sz="800">
                <a:solidFill>
                  <a:srgbClr val="7030A0"/>
                </a:solidFill>
              </a:defRPr>
            </a:pPr>
            <a:endParaRPr lang="ko-KR"/>
          </a:p>
        </c:txPr>
        <c:crossAx val="2101697392"/>
        <c:crosses val="autoZero"/>
        <c:auto val="1"/>
        <c:lblAlgn val="ctr"/>
        <c:lblOffset val="100"/>
        <c:noMultiLvlLbl val="0"/>
      </c:catAx>
      <c:valAx>
        <c:axId val="210169739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800"/>
                </a:pPr>
                <a:r>
                  <a:rPr lang="ko-KR" altLang="en-US" sz="800"/>
                  <a:t>금액 </a:t>
                </a:r>
                <a:r>
                  <a:rPr lang="en-US" altLang="ko-KR" sz="800"/>
                  <a:t>: </a:t>
                </a:r>
                <a:r>
                  <a:rPr lang="ko-KR" altLang="en-US" sz="800"/>
                  <a:t>백만원</a:t>
                </a:r>
              </a:p>
            </c:rich>
          </c:tx>
          <c:layout>
            <c:manualLayout>
              <c:xMode val="edge"/>
              <c:yMode val="edge"/>
              <c:x val="2.1346915156565439E-2"/>
              <c:y val="0.11846258848610446"/>
            </c:manualLayout>
          </c:layout>
          <c:overlay val="0"/>
        </c:title>
        <c:numFmt formatCode="_(* #,##0_);_(* \(#,##0\);_(* &quot;-&quot;_);_(@_)" sourceLinked="0"/>
        <c:majorTickMark val="none"/>
        <c:minorTickMark val="none"/>
        <c:tickLblPos val="nextTo"/>
        <c:crossAx val="1109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567479674796752"/>
          <c:y val="2.0171201610574858E-3"/>
          <c:w val="0.27857339131530851"/>
          <c:h val="0.21911863322761324"/>
        </c:manualLayout>
      </c:layout>
      <c:overlay val="0"/>
      <c:txPr>
        <a:bodyPr/>
        <a:lstStyle/>
        <a:p>
          <a:pPr>
            <a:defRPr sz="700"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000000000000888" l="0.70000000000000062" r="0.70000000000000062" t="0.750000000000008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58</xdr:row>
      <xdr:rowOff>0</xdr:rowOff>
    </xdr:from>
    <xdr:to>
      <xdr:col>22</xdr:col>
      <xdr:colOff>1</xdr:colOff>
      <xdr:row>81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92</xdr:col>
      <xdr:colOff>268943</xdr:colOff>
      <xdr:row>1</xdr:row>
      <xdr:rowOff>2</xdr:rowOff>
    </xdr:from>
    <xdr:to>
      <xdr:col>108</xdr:col>
      <xdr:colOff>385482</xdr:colOff>
      <xdr:row>13</xdr:row>
      <xdr:rowOff>138115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8"/>
  <sheetViews>
    <sheetView showGridLines="0" view="pageBreakPreview" zoomScaleNormal="100" zoomScaleSheetLayoutView="100" workbookViewId="0">
      <selection activeCell="L22" sqref="L22:M22"/>
    </sheetView>
  </sheetViews>
  <sheetFormatPr defaultColWidth="8.88671875" defaultRowHeight="17.25" customHeight="1"/>
  <cols>
    <col min="1" max="1" width="1.5546875" style="1" customWidth="1"/>
    <col min="2" max="3" width="4.33203125" style="4" customWidth="1"/>
    <col min="4" max="5" width="4.5546875" style="4" customWidth="1"/>
    <col min="6" max="11" width="4.33203125" style="4" customWidth="1"/>
    <col min="12" max="13" width="4.77734375" style="4" customWidth="1"/>
    <col min="14" max="22" width="4.33203125" style="4" customWidth="1"/>
    <col min="23" max="23" width="2" style="1" customWidth="1"/>
    <col min="24" max="24" width="8.88671875" style="1"/>
    <col min="25" max="16384" width="8.88671875" style="2"/>
  </cols>
  <sheetData>
    <row r="1" spans="1:28" ht="17.25" customHeight="1"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8" ht="31.5">
      <c r="B2" s="47">
        <v>2026</v>
      </c>
      <c r="C2" s="47"/>
      <c r="D2" s="47"/>
      <c r="E2" s="11" t="s">
        <v>69</v>
      </c>
      <c r="G2" s="47">
        <v>3</v>
      </c>
      <c r="H2" s="47"/>
      <c r="I2" s="11" t="s">
        <v>70</v>
      </c>
      <c r="K2" s="11" t="s">
        <v>71</v>
      </c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8" ht="17.25" customHeight="1">
      <c r="Z3" s="11"/>
      <c r="AA3" s="11"/>
      <c r="AB3" s="11"/>
    </row>
    <row r="4" spans="1:28" ht="17.25" customHeight="1" thickBot="1">
      <c r="B4" s="3" t="s">
        <v>12</v>
      </c>
      <c r="V4" s="5" t="s">
        <v>13</v>
      </c>
      <c r="Z4" s="11"/>
      <c r="AA4" s="11"/>
      <c r="AB4" s="11"/>
    </row>
    <row r="5" spans="1:28" ht="17.25" customHeight="1">
      <c r="B5" s="234" t="s">
        <v>14</v>
      </c>
      <c r="C5" s="235"/>
      <c r="D5" s="240" t="s">
        <v>15</v>
      </c>
      <c r="E5" s="240"/>
      <c r="F5" s="240"/>
      <c r="G5" s="240"/>
      <c r="H5" s="241"/>
      <c r="I5" s="242" t="s">
        <v>16</v>
      </c>
      <c r="J5" s="243"/>
      <c r="K5" s="243"/>
      <c r="L5" s="243"/>
      <c r="M5" s="244"/>
      <c r="N5" s="245">
        <v>2025</v>
      </c>
      <c r="O5" s="245"/>
      <c r="P5" s="246"/>
      <c r="Q5" s="241">
        <v>2026</v>
      </c>
      <c r="R5" s="245"/>
      <c r="S5" s="245"/>
      <c r="T5" s="245"/>
      <c r="U5" s="245"/>
      <c r="V5" s="245"/>
    </row>
    <row r="6" spans="1:28" ht="17.25" customHeight="1">
      <c r="B6" s="236"/>
      <c r="C6" s="237"/>
      <c r="D6" s="247" t="s">
        <v>17</v>
      </c>
      <c r="E6" s="235"/>
      <c r="F6" s="247" t="s">
        <v>10</v>
      </c>
      <c r="G6" s="234"/>
      <c r="H6" s="234"/>
      <c r="I6" s="249" t="s">
        <v>17</v>
      </c>
      <c r="J6" s="240"/>
      <c r="K6" s="234" t="s">
        <v>10</v>
      </c>
      <c r="L6" s="234"/>
      <c r="M6" s="252"/>
      <c r="N6" s="213" t="s">
        <v>18</v>
      </c>
      <c r="O6" s="213"/>
      <c r="P6" s="214"/>
      <c r="Q6" s="217" t="s">
        <v>18</v>
      </c>
      <c r="R6" s="217"/>
      <c r="S6" s="217"/>
      <c r="T6" s="217" t="s">
        <v>19</v>
      </c>
      <c r="U6" s="217"/>
      <c r="V6" s="219"/>
    </row>
    <row r="7" spans="1:28" ht="17.25" customHeight="1" thickBot="1">
      <c r="B7" s="238"/>
      <c r="C7" s="239"/>
      <c r="D7" s="248"/>
      <c r="E7" s="239"/>
      <c r="F7" s="248"/>
      <c r="G7" s="238"/>
      <c r="H7" s="238"/>
      <c r="I7" s="250"/>
      <c r="J7" s="251"/>
      <c r="K7" s="238"/>
      <c r="L7" s="238"/>
      <c r="M7" s="253"/>
      <c r="N7" s="215"/>
      <c r="O7" s="215"/>
      <c r="P7" s="216"/>
      <c r="Q7" s="218"/>
      <c r="R7" s="218"/>
      <c r="S7" s="218"/>
      <c r="T7" s="218"/>
      <c r="U7" s="218"/>
      <c r="V7" s="220"/>
    </row>
    <row r="8" spans="1:28" ht="17.25" customHeight="1" thickTop="1">
      <c r="B8" s="221" t="s">
        <v>20</v>
      </c>
      <c r="C8" s="222"/>
      <c r="D8" s="223">
        <v>107050</v>
      </c>
      <c r="E8" s="224"/>
      <c r="F8" s="225">
        <v>8137550</v>
      </c>
      <c r="G8" s="225"/>
      <c r="H8" s="226"/>
      <c r="I8" s="227">
        <f>L37</f>
        <v>47065</v>
      </c>
      <c r="J8" s="228"/>
      <c r="K8" s="226">
        <f>N37</f>
        <v>3189750</v>
      </c>
      <c r="L8" s="229"/>
      <c r="M8" s="230"/>
      <c r="N8" s="229">
        <v>11253267</v>
      </c>
      <c r="O8" s="229"/>
      <c r="P8" s="228"/>
      <c r="Q8" s="231">
        <f>그래프!DM18</f>
        <v>8137550</v>
      </c>
      <c r="R8" s="232"/>
      <c r="S8" s="233"/>
      <c r="T8" s="231">
        <f>그래프!DN18</f>
        <v>8137550</v>
      </c>
      <c r="U8" s="232"/>
      <c r="V8" s="232"/>
    </row>
    <row r="9" spans="1:28" ht="17.25" customHeight="1">
      <c r="B9" s="254" t="s">
        <v>21</v>
      </c>
      <c r="C9" s="255"/>
      <c r="D9" s="256">
        <v>89566</v>
      </c>
      <c r="E9" s="256"/>
      <c r="F9" s="256">
        <v>-11280450</v>
      </c>
      <c r="G9" s="256"/>
      <c r="H9" s="202"/>
      <c r="I9" s="200">
        <f>L56</f>
        <v>52150</v>
      </c>
      <c r="J9" s="201"/>
      <c r="K9" s="202">
        <f>N56</f>
        <v>-8844950</v>
      </c>
      <c r="L9" s="203"/>
      <c r="M9" s="204"/>
      <c r="N9" s="203">
        <v>-7840358</v>
      </c>
      <c r="O9" s="203"/>
      <c r="P9" s="201"/>
      <c r="Q9" s="205">
        <f>그래프!DM20</f>
        <v>-11280450</v>
      </c>
      <c r="R9" s="206"/>
      <c r="S9" s="207"/>
      <c r="T9" s="205">
        <f>그래프!DN20</f>
        <v>-11280450</v>
      </c>
      <c r="U9" s="206"/>
      <c r="V9" s="206"/>
    </row>
    <row r="10" spans="1:28" ht="17.25" customHeight="1" thickBot="1">
      <c r="B10" s="187" t="s">
        <v>22</v>
      </c>
      <c r="C10" s="188"/>
      <c r="D10" s="189" t="s">
        <v>23</v>
      </c>
      <c r="E10" s="190"/>
      <c r="F10" s="190">
        <v>-3142900</v>
      </c>
      <c r="G10" s="190"/>
      <c r="H10" s="191"/>
      <c r="I10" s="192" t="s">
        <v>4</v>
      </c>
      <c r="J10" s="193"/>
      <c r="K10" s="194">
        <f>K8+K9</f>
        <v>-5655200</v>
      </c>
      <c r="L10" s="195"/>
      <c r="M10" s="196"/>
      <c r="N10" s="197">
        <f>N8+N9</f>
        <v>3412909</v>
      </c>
      <c r="O10" s="197"/>
      <c r="P10" s="198"/>
      <c r="Q10" s="208">
        <f>Q8+Q9</f>
        <v>-3142900</v>
      </c>
      <c r="R10" s="209"/>
      <c r="S10" s="210"/>
      <c r="T10" s="211">
        <f>T8+T9</f>
        <v>-3142900</v>
      </c>
      <c r="U10" s="212"/>
      <c r="V10" s="212"/>
    </row>
    <row r="13" spans="1:28" s="8" customFormat="1" ht="17.25" customHeight="1" thickBot="1">
      <c r="A13" s="6"/>
      <c r="B13" s="7" t="s">
        <v>24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5" t="s">
        <v>13</v>
      </c>
      <c r="W13" s="6"/>
      <c r="X13" s="6"/>
    </row>
    <row r="14" spans="1:28" s="8" customFormat="1" ht="17.25" customHeight="1">
      <c r="A14" s="6"/>
      <c r="B14" s="118" t="s">
        <v>25</v>
      </c>
      <c r="C14" s="119"/>
      <c r="D14" s="119"/>
      <c r="E14" s="119"/>
      <c r="F14" s="119" t="s">
        <v>26</v>
      </c>
      <c r="G14" s="119"/>
      <c r="H14" s="119"/>
      <c r="I14" s="119"/>
      <c r="J14" s="122" t="s">
        <v>0</v>
      </c>
      <c r="K14" s="123"/>
      <c r="L14" s="126" t="s">
        <v>16</v>
      </c>
      <c r="M14" s="127"/>
      <c r="N14" s="127"/>
      <c r="O14" s="127"/>
      <c r="P14" s="128"/>
      <c r="Q14" s="129" t="s">
        <v>15</v>
      </c>
      <c r="R14" s="129"/>
      <c r="S14" s="118"/>
      <c r="T14" s="122" t="s">
        <v>11</v>
      </c>
      <c r="U14" s="123"/>
      <c r="V14" s="123"/>
      <c r="W14" s="6"/>
      <c r="X14" s="6"/>
    </row>
    <row r="15" spans="1:28" s="8" customFormat="1" ht="17.25" customHeight="1" thickBot="1">
      <c r="A15" s="6"/>
      <c r="B15" s="120"/>
      <c r="C15" s="121"/>
      <c r="D15" s="121"/>
      <c r="E15" s="121"/>
      <c r="F15" s="121"/>
      <c r="G15" s="121"/>
      <c r="H15" s="121"/>
      <c r="I15" s="121"/>
      <c r="J15" s="124"/>
      <c r="K15" s="125"/>
      <c r="L15" s="130" t="s">
        <v>27</v>
      </c>
      <c r="M15" s="121"/>
      <c r="N15" s="121" t="s">
        <v>28</v>
      </c>
      <c r="O15" s="121"/>
      <c r="P15" s="131"/>
      <c r="Q15" s="120" t="s">
        <v>28</v>
      </c>
      <c r="R15" s="121"/>
      <c r="S15" s="121"/>
      <c r="T15" s="124"/>
      <c r="U15" s="125"/>
      <c r="V15" s="125"/>
      <c r="W15" s="6"/>
      <c r="X15" s="6"/>
    </row>
    <row r="16" spans="1:28" s="8" customFormat="1" ht="17.25" customHeight="1" thickTop="1">
      <c r="A16" s="6"/>
      <c r="B16" s="102" t="s">
        <v>5</v>
      </c>
      <c r="C16" s="102"/>
      <c r="D16" s="102"/>
      <c r="E16" s="199"/>
      <c r="F16" s="155" t="s">
        <v>29</v>
      </c>
      <c r="G16" s="156"/>
      <c r="H16" s="156"/>
      <c r="I16" s="157"/>
      <c r="J16" s="90">
        <v>200</v>
      </c>
      <c r="K16" s="91"/>
      <c r="L16" s="92">
        <v>0</v>
      </c>
      <c r="M16" s="93"/>
      <c r="N16" s="90">
        <f>J16*L16</f>
        <v>0</v>
      </c>
      <c r="O16" s="91"/>
      <c r="P16" s="94"/>
      <c r="Q16" s="91">
        <v>0</v>
      </c>
      <c r="R16" s="91"/>
      <c r="S16" s="93"/>
      <c r="T16" s="95"/>
      <c r="U16" s="96"/>
      <c r="V16" s="96"/>
      <c r="W16" s="6"/>
      <c r="X16" s="6"/>
    </row>
    <row r="17" spans="1:24" s="8" customFormat="1" ht="17.25" customHeight="1">
      <c r="A17" s="6"/>
      <c r="B17" s="43"/>
      <c r="C17" s="43"/>
      <c r="D17" s="43"/>
      <c r="E17" s="44"/>
      <c r="F17" s="147" t="s">
        <v>30</v>
      </c>
      <c r="G17" s="148"/>
      <c r="H17" s="148"/>
      <c r="I17" s="149"/>
      <c r="J17" s="69">
        <v>350</v>
      </c>
      <c r="K17" s="73"/>
      <c r="L17" s="71">
        <v>0</v>
      </c>
      <c r="M17" s="72"/>
      <c r="N17" s="69">
        <f>J17*L17</f>
        <v>0</v>
      </c>
      <c r="O17" s="70"/>
      <c r="P17" s="73"/>
      <c r="Q17" s="71">
        <v>0</v>
      </c>
      <c r="R17" s="70"/>
      <c r="S17" s="72"/>
      <c r="T17" s="74"/>
      <c r="U17" s="75"/>
      <c r="V17" s="75"/>
      <c r="W17" s="6"/>
      <c r="X17" s="6"/>
    </row>
    <row r="18" spans="1:24" s="8" customFormat="1" ht="17.25" customHeight="1" thickBot="1">
      <c r="A18" s="6"/>
      <c r="B18" s="45"/>
      <c r="C18" s="45"/>
      <c r="D18" s="45"/>
      <c r="E18" s="46"/>
      <c r="F18" s="48" t="s">
        <v>31</v>
      </c>
      <c r="G18" s="49"/>
      <c r="H18" s="49"/>
      <c r="I18" s="49"/>
      <c r="J18" s="49"/>
      <c r="K18" s="49"/>
      <c r="L18" s="50">
        <f>SUM(L16:M17)</f>
        <v>0</v>
      </c>
      <c r="M18" s="51"/>
      <c r="N18" s="52">
        <f>SUM(N16:P17)</f>
        <v>0</v>
      </c>
      <c r="O18" s="53"/>
      <c r="P18" s="54"/>
      <c r="Q18" s="53">
        <v>0</v>
      </c>
      <c r="R18" s="53"/>
      <c r="S18" s="51"/>
      <c r="T18" s="137"/>
      <c r="U18" s="137"/>
      <c r="V18" s="48"/>
      <c r="W18" s="6"/>
      <c r="X18" s="6"/>
    </row>
    <row r="19" spans="1:24" s="8" customFormat="1" ht="17.25" customHeight="1" thickTop="1">
      <c r="A19" s="6"/>
      <c r="B19" s="175" t="s">
        <v>32</v>
      </c>
      <c r="C19" s="175"/>
      <c r="D19" s="175"/>
      <c r="E19" s="176"/>
      <c r="F19" s="177" t="s">
        <v>33</v>
      </c>
      <c r="G19" s="178"/>
      <c r="H19" s="178"/>
      <c r="I19" s="179"/>
      <c r="J19" s="180">
        <v>180</v>
      </c>
      <c r="K19" s="181"/>
      <c r="L19" s="182">
        <v>4070</v>
      </c>
      <c r="M19" s="183"/>
      <c r="N19" s="180">
        <f>J19*L19</f>
        <v>732600</v>
      </c>
      <c r="O19" s="181"/>
      <c r="P19" s="184"/>
      <c r="Q19" s="181">
        <v>0</v>
      </c>
      <c r="R19" s="181"/>
      <c r="S19" s="183"/>
      <c r="T19" s="185" t="s">
        <v>34</v>
      </c>
      <c r="U19" s="186"/>
      <c r="V19" s="186"/>
      <c r="W19" s="6"/>
      <c r="X19" s="6"/>
    </row>
    <row r="20" spans="1:24" s="8" customFormat="1" ht="17.25" customHeight="1">
      <c r="A20" s="6"/>
      <c r="B20" s="175"/>
      <c r="C20" s="175"/>
      <c r="D20" s="175"/>
      <c r="E20" s="176"/>
      <c r="F20" s="152" t="s">
        <v>35</v>
      </c>
      <c r="G20" s="153"/>
      <c r="H20" s="153"/>
      <c r="I20" s="154"/>
      <c r="J20" s="78">
        <v>30</v>
      </c>
      <c r="K20" s="79"/>
      <c r="L20" s="76">
        <v>0</v>
      </c>
      <c r="M20" s="77"/>
      <c r="N20" s="78">
        <f>J20*L20</f>
        <v>0</v>
      </c>
      <c r="O20" s="79"/>
      <c r="P20" s="80"/>
      <c r="Q20" s="79">
        <v>42600</v>
      </c>
      <c r="R20" s="79"/>
      <c r="S20" s="77"/>
      <c r="T20" s="115"/>
      <c r="U20" s="115"/>
      <c r="V20" s="81"/>
      <c r="W20" s="6"/>
      <c r="X20" s="6"/>
    </row>
    <row r="21" spans="1:24" s="8" customFormat="1" ht="17.25" customHeight="1">
      <c r="A21" s="6"/>
      <c r="B21" s="175"/>
      <c r="C21" s="175"/>
      <c r="D21" s="175"/>
      <c r="E21" s="176"/>
      <c r="F21" s="152" t="s">
        <v>230</v>
      </c>
      <c r="G21" s="153"/>
      <c r="H21" s="153"/>
      <c r="I21" s="154"/>
      <c r="J21" s="78">
        <v>105</v>
      </c>
      <c r="K21" s="79"/>
      <c r="L21" s="76">
        <v>0</v>
      </c>
      <c r="M21" s="77"/>
      <c r="N21" s="78">
        <f t="shared" ref="N21:N27" si="0">J21*L21</f>
        <v>0</v>
      </c>
      <c r="O21" s="79"/>
      <c r="P21" s="80"/>
      <c r="Q21" s="79">
        <v>5120850</v>
      </c>
      <c r="R21" s="79"/>
      <c r="S21" s="77"/>
      <c r="T21" s="115"/>
      <c r="U21" s="115"/>
      <c r="V21" s="81"/>
      <c r="W21" s="6"/>
      <c r="X21" s="6"/>
    </row>
    <row r="22" spans="1:24" s="8" customFormat="1" ht="17.25" customHeight="1">
      <c r="A22" s="6"/>
      <c r="B22" s="175"/>
      <c r="C22" s="175"/>
      <c r="D22" s="175"/>
      <c r="E22" s="176"/>
      <c r="F22" s="152" t="s">
        <v>36</v>
      </c>
      <c r="G22" s="153"/>
      <c r="H22" s="153"/>
      <c r="I22" s="154"/>
      <c r="J22" s="78">
        <v>220</v>
      </c>
      <c r="K22" s="79"/>
      <c r="L22" s="76">
        <v>7080</v>
      </c>
      <c r="M22" s="77"/>
      <c r="N22" s="78">
        <f t="shared" si="0"/>
        <v>1557600</v>
      </c>
      <c r="O22" s="79"/>
      <c r="P22" s="80"/>
      <c r="Q22" s="79">
        <v>1588400</v>
      </c>
      <c r="R22" s="79"/>
      <c r="S22" s="77"/>
      <c r="T22" s="115"/>
      <c r="U22" s="115"/>
      <c r="V22" s="81"/>
      <c r="W22" s="6"/>
      <c r="X22" s="6"/>
    </row>
    <row r="23" spans="1:24" s="8" customFormat="1" ht="17.25" customHeight="1">
      <c r="A23" s="6"/>
      <c r="B23" s="175"/>
      <c r="C23" s="175"/>
      <c r="D23" s="175"/>
      <c r="E23" s="176"/>
      <c r="F23" s="152" t="s">
        <v>231</v>
      </c>
      <c r="G23" s="153"/>
      <c r="H23" s="153"/>
      <c r="I23" s="154"/>
      <c r="J23" s="78">
        <v>30</v>
      </c>
      <c r="K23" s="79"/>
      <c r="L23" s="76">
        <v>22470</v>
      </c>
      <c r="M23" s="77"/>
      <c r="N23" s="78">
        <f t="shared" si="0"/>
        <v>674100</v>
      </c>
      <c r="O23" s="79"/>
      <c r="P23" s="80"/>
      <c r="Q23" s="76">
        <v>1115700</v>
      </c>
      <c r="R23" s="79"/>
      <c r="S23" s="77"/>
      <c r="T23" s="115"/>
      <c r="U23" s="115"/>
      <c r="V23" s="81"/>
      <c r="W23" s="6"/>
      <c r="X23" s="6"/>
    </row>
    <row r="24" spans="1:24" s="8" customFormat="1" ht="17.25" customHeight="1">
      <c r="A24" s="6"/>
      <c r="B24" s="175"/>
      <c r="C24" s="175"/>
      <c r="D24" s="175"/>
      <c r="E24" s="176"/>
      <c r="F24" s="152" t="s">
        <v>232</v>
      </c>
      <c r="G24" s="153"/>
      <c r="H24" s="153"/>
      <c r="I24" s="154"/>
      <c r="J24" s="78">
        <v>35</v>
      </c>
      <c r="K24" s="79"/>
      <c r="L24" s="76">
        <v>2790</v>
      </c>
      <c r="M24" s="77"/>
      <c r="N24" s="78">
        <f t="shared" si="0"/>
        <v>97650</v>
      </c>
      <c r="O24" s="79"/>
      <c r="P24" s="80"/>
      <c r="Q24" s="79">
        <v>114100</v>
      </c>
      <c r="R24" s="79"/>
      <c r="S24" s="77"/>
      <c r="T24" s="115"/>
      <c r="U24" s="115"/>
      <c r="V24" s="81"/>
      <c r="W24" s="6"/>
      <c r="X24" s="6"/>
    </row>
    <row r="25" spans="1:24" s="8" customFormat="1" ht="17.25" customHeight="1">
      <c r="A25" s="6"/>
      <c r="B25" s="175"/>
      <c r="C25" s="175"/>
      <c r="D25" s="175"/>
      <c r="E25" s="176"/>
      <c r="F25" s="152" t="s">
        <v>37</v>
      </c>
      <c r="G25" s="153"/>
      <c r="H25" s="153"/>
      <c r="I25" s="154"/>
      <c r="J25" s="78">
        <v>10</v>
      </c>
      <c r="K25" s="79"/>
      <c r="L25" s="76">
        <v>3180</v>
      </c>
      <c r="M25" s="77"/>
      <c r="N25" s="78">
        <f t="shared" si="0"/>
        <v>31800</v>
      </c>
      <c r="O25" s="79"/>
      <c r="P25" s="80"/>
      <c r="Q25" s="79">
        <v>53500</v>
      </c>
      <c r="R25" s="79"/>
      <c r="S25" s="77"/>
      <c r="T25" s="115"/>
      <c r="U25" s="115"/>
      <c r="V25" s="81"/>
      <c r="W25" s="6"/>
      <c r="X25" s="6"/>
    </row>
    <row r="26" spans="1:24" s="8" customFormat="1" ht="17.25" customHeight="1">
      <c r="A26" s="6"/>
      <c r="B26" s="175"/>
      <c r="C26" s="175"/>
      <c r="D26" s="175"/>
      <c r="E26" s="176"/>
      <c r="F26" s="152" t="s">
        <v>233</v>
      </c>
      <c r="G26" s="153"/>
      <c r="H26" s="153"/>
      <c r="I26" s="154"/>
      <c r="J26" s="9"/>
      <c r="K26" s="10">
        <v>10</v>
      </c>
      <c r="L26" s="76">
        <v>0</v>
      </c>
      <c r="M26" s="77"/>
      <c r="N26" s="78">
        <f t="shared" si="0"/>
        <v>0</v>
      </c>
      <c r="O26" s="79"/>
      <c r="P26" s="80"/>
      <c r="Q26" s="79">
        <v>0</v>
      </c>
      <c r="R26" s="79"/>
      <c r="S26" s="77"/>
      <c r="T26" s="115"/>
      <c r="U26" s="115"/>
      <c r="V26" s="81"/>
      <c r="W26" s="6"/>
      <c r="X26" s="6"/>
    </row>
    <row r="27" spans="1:24" s="8" customFormat="1" ht="17.25" customHeight="1">
      <c r="A27" s="6"/>
      <c r="B27" s="175"/>
      <c r="C27" s="175"/>
      <c r="D27" s="175"/>
      <c r="E27" s="176"/>
      <c r="F27" s="152" t="s">
        <v>38</v>
      </c>
      <c r="G27" s="153"/>
      <c r="H27" s="153"/>
      <c r="I27" s="154"/>
      <c r="J27" s="78">
        <v>0</v>
      </c>
      <c r="K27" s="79"/>
      <c r="L27" s="76">
        <v>0</v>
      </c>
      <c r="M27" s="77"/>
      <c r="N27" s="78">
        <f t="shared" si="0"/>
        <v>0</v>
      </c>
      <c r="O27" s="79"/>
      <c r="P27" s="80"/>
      <c r="Q27" s="79">
        <v>0</v>
      </c>
      <c r="R27" s="79"/>
      <c r="S27" s="77"/>
      <c r="T27" s="97" t="s">
        <v>39</v>
      </c>
      <c r="U27" s="43"/>
      <c r="V27" s="43"/>
      <c r="W27" s="6"/>
      <c r="X27" s="6"/>
    </row>
    <row r="28" spans="1:24" s="8" customFormat="1" ht="17.25" customHeight="1">
      <c r="A28" s="6"/>
      <c r="B28" s="175"/>
      <c r="C28" s="175"/>
      <c r="D28" s="175"/>
      <c r="E28" s="176"/>
      <c r="F28" s="147" t="s">
        <v>40</v>
      </c>
      <c r="G28" s="148"/>
      <c r="H28" s="148"/>
      <c r="I28" s="149"/>
      <c r="J28" s="69">
        <v>0</v>
      </c>
      <c r="K28" s="70"/>
      <c r="L28" s="71">
        <v>3880</v>
      </c>
      <c r="M28" s="72"/>
      <c r="N28" s="69">
        <f>L28*J28</f>
        <v>0</v>
      </c>
      <c r="O28" s="70"/>
      <c r="P28" s="73"/>
      <c r="Q28" s="70">
        <v>0</v>
      </c>
      <c r="R28" s="70"/>
      <c r="S28" s="72"/>
      <c r="T28" s="173"/>
      <c r="U28" s="174"/>
      <c r="V28" s="174"/>
      <c r="W28" s="6"/>
      <c r="X28" s="6"/>
    </row>
    <row r="29" spans="1:24" s="8" customFormat="1" ht="17.25" customHeight="1" thickBot="1">
      <c r="A29" s="6"/>
      <c r="B29" s="163"/>
      <c r="C29" s="163"/>
      <c r="D29" s="163"/>
      <c r="E29" s="164"/>
      <c r="F29" s="48" t="s">
        <v>31</v>
      </c>
      <c r="G29" s="49"/>
      <c r="H29" s="49"/>
      <c r="I29" s="49"/>
      <c r="J29" s="49"/>
      <c r="K29" s="49"/>
      <c r="L29" s="50">
        <f>SUM(L19:M28)</f>
        <v>43470</v>
      </c>
      <c r="M29" s="51"/>
      <c r="N29" s="52">
        <f>SUM(N19:P28)</f>
        <v>3093750</v>
      </c>
      <c r="O29" s="53"/>
      <c r="P29" s="54"/>
      <c r="Q29" s="53">
        <v>8035150</v>
      </c>
      <c r="R29" s="53"/>
      <c r="S29" s="51"/>
      <c r="T29" s="137"/>
      <c r="U29" s="137"/>
      <c r="V29" s="48"/>
      <c r="W29" s="6"/>
      <c r="X29" s="6"/>
    </row>
    <row r="30" spans="1:24" s="8" customFormat="1" ht="17.25" customHeight="1" thickTop="1">
      <c r="A30" s="6"/>
      <c r="B30" s="161" t="s">
        <v>6</v>
      </c>
      <c r="C30" s="161"/>
      <c r="D30" s="161"/>
      <c r="E30" s="162"/>
      <c r="F30" s="165" t="s">
        <v>41</v>
      </c>
      <c r="G30" s="166"/>
      <c r="H30" s="166"/>
      <c r="I30" s="167"/>
      <c r="J30" s="168">
        <v>50</v>
      </c>
      <c r="K30" s="169"/>
      <c r="L30" s="170">
        <v>0</v>
      </c>
      <c r="M30" s="171"/>
      <c r="N30" s="168">
        <f>J30*L30</f>
        <v>0</v>
      </c>
      <c r="O30" s="169"/>
      <c r="P30" s="172"/>
      <c r="Q30" s="169">
        <v>0</v>
      </c>
      <c r="R30" s="169"/>
      <c r="S30" s="171"/>
      <c r="T30" s="158"/>
      <c r="U30" s="158"/>
      <c r="V30" s="159"/>
      <c r="W30" s="6"/>
      <c r="X30" s="6"/>
    </row>
    <row r="31" spans="1:24" s="8" customFormat="1" ht="17.25" customHeight="1" thickBot="1">
      <c r="A31" s="6"/>
      <c r="B31" s="163"/>
      <c r="C31" s="163"/>
      <c r="D31" s="163"/>
      <c r="E31" s="164"/>
      <c r="F31" s="48" t="s">
        <v>31</v>
      </c>
      <c r="G31" s="49"/>
      <c r="H31" s="49"/>
      <c r="I31" s="49"/>
      <c r="J31" s="49"/>
      <c r="K31" s="49"/>
      <c r="L31" s="50">
        <f>L30</f>
        <v>0</v>
      </c>
      <c r="M31" s="51"/>
      <c r="N31" s="52">
        <f>N30</f>
        <v>0</v>
      </c>
      <c r="O31" s="53"/>
      <c r="P31" s="54"/>
      <c r="Q31" s="52">
        <v>0</v>
      </c>
      <c r="R31" s="53"/>
      <c r="S31" s="53"/>
      <c r="T31" s="160"/>
      <c r="U31" s="160"/>
      <c r="V31" s="132"/>
      <c r="W31" s="6"/>
      <c r="X31" s="6"/>
    </row>
    <row r="32" spans="1:24" s="8" customFormat="1" ht="17.25" customHeight="1" thickTop="1">
      <c r="A32" s="6"/>
      <c r="B32" s="112" t="s">
        <v>7</v>
      </c>
      <c r="C32" s="113"/>
      <c r="D32" s="113"/>
      <c r="E32" s="113"/>
      <c r="F32" s="155" t="s">
        <v>42</v>
      </c>
      <c r="G32" s="156"/>
      <c r="H32" s="156"/>
      <c r="I32" s="157"/>
      <c r="J32" s="90" t="s">
        <v>43</v>
      </c>
      <c r="K32" s="91"/>
      <c r="L32" s="92">
        <v>2400</v>
      </c>
      <c r="M32" s="93"/>
      <c r="N32" s="90">
        <f>(L32/20)*800</f>
        <v>96000</v>
      </c>
      <c r="O32" s="91"/>
      <c r="P32" s="94"/>
      <c r="Q32" s="91">
        <v>102400</v>
      </c>
      <c r="R32" s="91"/>
      <c r="S32" s="93"/>
      <c r="T32" s="151" t="s">
        <v>237</v>
      </c>
      <c r="U32" s="113"/>
      <c r="V32" s="95"/>
      <c r="W32" s="6"/>
      <c r="X32" s="6"/>
    </row>
    <row r="33" spans="1:24" s="8" customFormat="1" ht="17.25" customHeight="1">
      <c r="A33" s="6"/>
      <c r="B33" s="114"/>
      <c r="C33" s="115"/>
      <c r="D33" s="115"/>
      <c r="E33" s="115"/>
      <c r="F33" s="152" t="s">
        <v>44</v>
      </c>
      <c r="G33" s="153"/>
      <c r="H33" s="153"/>
      <c r="I33" s="154"/>
      <c r="J33" s="78">
        <v>0</v>
      </c>
      <c r="K33" s="79"/>
      <c r="L33" s="76">
        <v>970</v>
      </c>
      <c r="M33" s="77"/>
      <c r="N33" s="78">
        <v>0</v>
      </c>
      <c r="O33" s="79"/>
      <c r="P33" s="80"/>
      <c r="Q33" s="79">
        <v>0</v>
      </c>
      <c r="R33" s="79"/>
      <c r="S33" s="77"/>
      <c r="T33" s="115" t="s">
        <v>238</v>
      </c>
      <c r="U33" s="115"/>
      <c r="V33" s="81"/>
      <c r="W33" s="6"/>
      <c r="X33" s="6"/>
    </row>
    <row r="34" spans="1:24" s="8" customFormat="1" ht="17.25" customHeight="1">
      <c r="A34" s="6"/>
      <c r="B34" s="114"/>
      <c r="C34" s="115"/>
      <c r="D34" s="115"/>
      <c r="E34" s="115"/>
      <c r="F34" s="152" t="s">
        <v>45</v>
      </c>
      <c r="G34" s="153"/>
      <c r="H34" s="153"/>
      <c r="I34" s="154"/>
      <c r="J34" s="78">
        <v>0</v>
      </c>
      <c r="K34" s="79"/>
      <c r="L34" s="76">
        <v>225</v>
      </c>
      <c r="M34" s="77"/>
      <c r="N34" s="78">
        <v>0</v>
      </c>
      <c r="O34" s="79"/>
      <c r="P34" s="80"/>
      <c r="Q34" s="79">
        <v>0</v>
      </c>
      <c r="R34" s="79"/>
      <c r="S34" s="77"/>
      <c r="T34" s="115" t="s">
        <v>239</v>
      </c>
      <c r="U34" s="115"/>
      <c r="V34" s="81"/>
      <c r="W34" s="6"/>
      <c r="X34" s="6"/>
    </row>
    <row r="35" spans="1:24" s="8" customFormat="1" ht="17.25" customHeight="1">
      <c r="A35" s="6"/>
      <c r="B35" s="145"/>
      <c r="C35" s="146"/>
      <c r="D35" s="146"/>
      <c r="E35" s="146"/>
      <c r="F35" s="147" t="s">
        <v>46</v>
      </c>
      <c r="G35" s="148"/>
      <c r="H35" s="148"/>
      <c r="I35" s="149"/>
      <c r="J35" s="69">
        <v>0</v>
      </c>
      <c r="K35" s="70"/>
      <c r="L35" s="71"/>
      <c r="M35" s="72"/>
      <c r="N35" s="69">
        <v>0</v>
      </c>
      <c r="O35" s="70"/>
      <c r="P35" s="73"/>
      <c r="Q35" s="70">
        <v>0</v>
      </c>
      <c r="R35" s="70"/>
      <c r="S35" s="72"/>
      <c r="T35" s="150" t="s">
        <v>47</v>
      </c>
      <c r="U35" s="150"/>
      <c r="V35" s="74"/>
      <c r="W35" s="6"/>
      <c r="X35" s="6"/>
    </row>
    <row r="36" spans="1:24" s="8" customFormat="1" ht="17.25" customHeight="1" thickBot="1">
      <c r="A36" s="6"/>
      <c r="B36" s="116"/>
      <c r="C36" s="117"/>
      <c r="D36" s="117"/>
      <c r="E36" s="117"/>
      <c r="F36" s="132" t="s">
        <v>31</v>
      </c>
      <c r="G36" s="133"/>
      <c r="H36" s="133"/>
      <c r="I36" s="133"/>
      <c r="J36" s="133"/>
      <c r="K36" s="133"/>
      <c r="L36" s="50">
        <f>SUM(L32:M35)</f>
        <v>3595</v>
      </c>
      <c r="M36" s="51"/>
      <c r="N36" s="52">
        <f>SUM(N32:P35)</f>
        <v>96000</v>
      </c>
      <c r="O36" s="53"/>
      <c r="P36" s="54"/>
      <c r="Q36" s="134">
        <v>102400</v>
      </c>
      <c r="R36" s="135"/>
      <c r="S36" s="136"/>
      <c r="T36" s="137"/>
      <c r="U36" s="137"/>
      <c r="V36" s="48"/>
      <c r="W36" s="6"/>
      <c r="X36" s="6"/>
    </row>
    <row r="37" spans="1:24" s="8" customFormat="1" ht="17.25" customHeight="1" thickTop="1" thickBot="1">
      <c r="A37" s="6"/>
      <c r="B37" s="138" t="s">
        <v>48</v>
      </c>
      <c r="C37" s="138"/>
      <c r="D37" s="138"/>
      <c r="E37" s="138"/>
      <c r="F37" s="138"/>
      <c r="G37" s="138"/>
      <c r="H37" s="138"/>
      <c r="I37" s="138"/>
      <c r="J37" s="138"/>
      <c r="K37" s="138"/>
      <c r="L37" s="139">
        <f>L18+L29+L31+L36</f>
        <v>47065</v>
      </c>
      <c r="M37" s="140"/>
      <c r="N37" s="140">
        <f>N18+N29+N31+N36</f>
        <v>3189750</v>
      </c>
      <c r="O37" s="140"/>
      <c r="P37" s="141"/>
      <c r="Q37" s="65">
        <v>8137550</v>
      </c>
      <c r="R37" s="142"/>
      <c r="S37" s="142"/>
      <c r="T37" s="143"/>
      <c r="U37" s="144"/>
      <c r="V37" s="144"/>
      <c r="W37" s="6"/>
      <c r="X37" s="6"/>
    </row>
    <row r="38" spans="1:24" s="8" customFormat="1" ht="17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s="8" customFormat="1" ht="17.25" customHeight="1" thickBot="1">
      <c r="A39" s="6"/>
      <c r="B39" s="7" t="s">
        <v>49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5" t="s">
        <v>13</v>
      </c>
      <c r="W39" s="6"/>
      <c r="X39" s="6"/>
    </row>
    <row r="40" spans="1:24" s="8" customFormat="1" ht="17.25" customHeight="1">
      <c r="A40" s="6"/>
      <c r="B40" s="118" t="s">
        <v>25</v>
      </c>
      <c r="C40" s="119"/>
      <c r="D40" s="119"/>
      <c r="E40" s="119"/>
      <c r="F40" s="119" t="s">
        <v>26</v>
      </c>
      <c r="G40" s="119"/>
      <c r="H40" s="119"/>
      <c r="I40" s="119"/>
      <c r="J40" s="122" t="s">
        <v>0</v>
      </c>
      <c r="K40" s="123"/>
      <c r="L40" s="126" t="s">
        <v>16</v>
      </c>
      <c r="M40" s="127"/>
      <c r="N40" s="127"/>
      <c r="O40" s="127"/>
      <c r="P40" s="128"/>
      <c r="Q40" s="129" t="s">
        <v>15</v>
      </c>
      <c r="R40" s="129"/>
      <c r="S40" s="118"/>
      <c r="T40" s="122" t="s">
        <v>11</v>
      </c>
      <c r="U40" s="123"/>
      <c r="V40" s="123"/>
      <c r="W40" s="6"/>
      <c r="X40" s="6"/>
    </row>
    <row r="41" spans="1:24" s="8" customFormat="1" ht="17.25" customHeight="1" thickBot="1">
      <c r="A41" s="6"/>
      <c r="B41" s="120"/>
      <c r="C41" s="121"/>
      <c r="D41" s="121"/>
      <c r="E41" s="121"/>
      <c r="F41" s="121"/>
      <c r="G41" s="121"/>
      <c r="H41" s="121"/>
      <c r="I41" s="121"/>
      <c r="J41" s="124"/>
      <c r="K41" s="125"/>
      <c r="L41" s="130" t="s">
        <v>27</v>
      </c>
      <c r="M41" s="121"/>
      <c r="N41" s="121" t="s">
        <v>2</v>
      </c>
      <c r="O41" s="121"/>
      <c r="P41" s="131"/>
      <c r="Q41" s="120" t="s">
        <v>2</v>
      </c>
      <c r="R41" s="121"/>
      <c r="S41" s="121"/>
      <c r="T41" s="124"/>
      <c r="U41" s="125"/>
      <c r="V41" s="125"/>
      <c r="W41" s="6"/>
      <c r="X41" s="6"/>
    </row>
    <row r="42" spans="1:24" s="8" customFormat="1" ht="17.25" customHeight="1" thickTop="1" thickBot="1">
      <c r="A42" s="6"/>
      <c r="B42" s="98" t="s">
        <v>50</v>
      </c>
      <c r="C42" s="99"/>
      <c r="D42" s="99"/>
      <c r="E42" s="99"/>
      <c r="F42" s="100" t="s">
        <v>51</v>
      </c>
      <c r="G42" s="100"/>
      <c r="H42" s="100"/>
      <c r="I42" s="100"/>
      <c r="J42" s="86">
        <v>250</v>
      </c>
      <c r="K42" s="87"/>
      <c r="L42" s="84">
        <v>0</v>
      </c>
      <c r="M42" s="85"/>
      <c r="N42" s="86">
        <f>-J42*(L42/0.11)</f>
        <v>0</v>
      </c>
      <c r="O42" s="87"/>
      <c r="P42" s="88"/>
      <c r="Q42" s="87">
        <v>-150000</v>
      </c>
      <c r="R42" s="87"/>
      <c r="S42" s="85"/>
      <c r="T42" s="110"/>
      <c r="U42" s="111"/>
      <c r="V42" s="111"/>
      <c r="W42" s="6"/>
      <c r="X42" s="6"/>
    </row>
    <row r="43" spans="1:24" s="8" customFormat="1" ht="17.25" customHeight="1" thickTop="1">
      <c r="A43" s="6"/>
      <c r="B43" s="112" t="s">
        <v>9</v>
      </c>
      <c r="C43" s="113"/>
      <c r="D43" s="113"/>
      <c r="E43" s="113"/>
      <c r="F43" s="89" t="s">
        <v>52</v>
      </c>
      <c r="G43" s="89"/>
      <c r="H43" s="89"/>
      <c r="I43" s="89"/>
      <c r="J43" s="90">
        <v>150000</v>
      </c>
      <c r="K43" s="91"/>
      <c r="L43" s="92">
        <v>3570</v>
      </c>
      <c r="M43" s="93"/>
      <c r="N43" s="90">
        <v>-150000</v>
      </c>
      <c r="O43" s="91"/>
      <c r="P43" s="94"/>
      <c r="Q43" s="91">
        <v>-150000</v>
      </c>
      <c r="R43" s="91"/>
      <c r="S43" s="93"/>
      <c r="T43" s="95" t="s">
        <v>53</v>
      </c>
      <c r="U43" s="96"/>
      <c r="V43" s="96"/>
      <c r="W43" s="6"/>
      <c r="X43" s="6"/>
    </row>
    <row r="44" spans="1:24" s="8" customFormat="1" ht="17.25" customHeight="1">
      <c r="A44" s="6"/>
      <c r="B44" s="114"/>
      <c r="C44" s="115"/>
      <c r="D44" s="115"/>
      <c r="E44" s="115"/>
      <c r="F44" s="68" t="s">
        <v>240</v>
      </c>
      <c r="G44" s="68"/>
      <c r="H44" s="68"/>
      <c r="I44" s="68"/>
      <c r="J44" s="69">
        <v>200000</v>
      </c>
      <c r="K44" s="70"/>
      <c r="L44" s="71">
        <v>4690</v>
      </c>
      <c r="M44" s="72"/>
      <c r="N44" s="69">
        <v>-200000</v>
      </c>
      <c r="O44" s="70"/>
      <c r="P44" s="73"/>
      <c r="Q44" s="70">
        <v>0</v>
      </c>
      <c r="R44" s="70"/>
      <c r="S44" s="72"/>
      <c r="T44" s="74" t="s">
        <v>236</v>
      </c>
      <c r="U44" s="75"/>
      <c r="V44" s="75"/>
      <c r="W44" s="6"/>
      <c r="X44" s="6"/>
    </row>
    <row r="45" spans="1:24" s="8" customFormat="1" ht="17.25" customHeight="1" thickBot="1">
      <c r="A45" s="6"/>
      <c r="B45" s="116"/>
      <c r="C45" s="117"/>
      <c r="D45" s="117"/>
      <c r="E45" s="117"/>
      <c r="F45" s="48" t="s">
        <v>31</v>
      </c>
      <c r="G45" s="49"/>
      <c r="H45" s="49"/>
      <c r="I45" s="49"/>
      <c r="J45" s="49"/>
      <c r="K45" s="49"/>
      <c r="L45" s="50">
        <f>SUM(L43:M44)</f>
        <v>8260</v>
      </c>
      <c r="M45" s="51"/>
      <c r="N45" s="52">
        <f>SUM(N43:P44)</f>
        <v>-350000</v>
      </c>
      <c r="O45" s="53"/>
      <c r="P45" s="54"/>
      <c r="Q45" s="53">
        <v>-150000</v>
      </c>
      <c r="R45" s="53"/>
      <c r="S45" s="51"/>
      <c r="T45" s="55" t="s">
        <v>54</v>
      </c>
      <c r="U45" s="45"/>
      <c r="V45" s="45"/>
      <c r="W45" s="6"/>
      <c r="X45" s="6"/>
    </row>
    <row r="46" spans="1:24" s="8" customFormat="1" ht="17.25" customHeight="1" thickTop="1" thickBot="1">
      <c r="A46" s="6"/>
      <c r="B46" s="44" t="s">
        <v>8</v>
      </c>
      <c r="C46" s="103"/>
      <c r="D46" s="103"/>
      <c r="E46" s="103"/>
      <c r="F46" s="104" t="s">
        <v>55</v>
      </c>
      <c r="G46" s="104"/>
      <c r="H46" s="104"/>
      <c r="I46" s="104"/>
      <c r="J46" s="105">
        <v>120</v>
      </c>
      <c r="K46" s="106"/>
      <c r="L46" s="107">
        <v>12630</v>
      </c>
      <c r="M46" s="108"/>
      <c r="N46" s="105">
        <f>(-1)*L46*J46</f>
        <v>-1515600</v>
      </c>
      <c r="O46" s="106"/>
      <c r="P46" s="109"/>
      <c r="Q46" s="106">
        <v>-4458000</v>
      </c>
      <c r="R46" s="106"/>
      <c r="S46" s="108"/>
      <c r="T46" s="97"/>
      <c r="U46" s="43"/>
      <c r="V46" s="43"/>
      <c r="W46" s="6"/>
      <c r="X46" s="6"/>
    </row>
    <row r="47" spans="1:24" s="8" customFormat="1" ht="17.25" customHeight="1" thickTop="1" thickBot="1">
      <c r="A47" s="6"/>
      <c r="B47" s="98" t="s">
        <v>56</v>
      </c>
      <c r="C47" s="99"/>
      <c r="D47" s="99"/>
      <c r="E47" s="99"/>
      <c r="F47" s="100" t="s">
        <v>57</v>
      </c>
      <c r="G47" s="100"/>
      <c r="H47" s="100"/>
      <c r="I47" s="100"/>
      <c r="J47" s="86">
        <v>0</v>
      </c>
      <c r="K47" s="87"/>
      <c r="L47" s="84">
        <v>0</v>
      </c>
      <c r="M47" s="85"/>
      <c r="N47" s="86">
        <v>0</v>
      </c>
      <c r="O47" s="87"/>
      <c r="P47" s="88"/>
      <c r="Q47" s="87">
        <v>0</v>
      </c>
      <c r="R47" s="87"/>
      <c r="S47" s="85"/>
      <c r="T47" s="101" t="s">
        <v>58</v>
      </c>
      <c r="U47" s="102"/>
      <c r="V47" s="102"/>
      <c r="W47" s="6"/>
      <c r="X47" s="6"/>
    </row>
    <row r="48" spans="1:24" s="8" customFormat="1" ht="17.25" customHeight="1" thickTop="1" thickBot="1">
      <c r="A48" s="6"/>
      <c r="B48" s="98" t="s">
        <v>59</v>
      </c>
      <c r="C48" s="99"/>
      <c r="D48" s="99"/>
      <c r="E48" s="99"/>
      <c r="F48" s="100" t="s">
        <v>60</v>
      </c>
      <c r="G48" s="100"/>
      <c r="H48" s="100"/>
      <c r="I48" s="100"/>
      <c r="J48" s="86">
        <v>0</v>
      </c>
      <c r="K48" s="87"/>
      <c r="L48" s="84">
        <v>0</v>
      </c>
      <c r="M48" s="85"/>
      <c r="N48" s="86">
        <v>0</v>
      </c>
      <c r="O48" s="87"/>
      <c r="P48" s="88"/>
      <c r="Q48" s="87">
        <v>0</v>
      </c>
      <c r="R48" s="87"/>
      <c r="S48" s="85"/>
      <c r="T48" s="97"/>
      <c r="U48" s="43"/>
      <c r="V48" s="43"/>
      <c r="W48" s="6"/>
      <c r="X48" s="6"/>
    </row>
    <row r="49" spans="1:24" s="8" customFormat="1" ht="17.25" customHeight="1" thickTop="1" thickBot="1">
      <c r="A49" s="6"/>
      <c r="B49" s="98" t="s">
        <v>61</v>
      </c>
      <c r="C49" s="99"/>
      <c r="D49" s="99"/>
      <c r="E49" s="99"/>
      <c r="F49" s="100" t="s">
        <v>62</v>
      </c>
      <c r="G49" s="100"/>
      <c r="H49" s="100"/>
      <c r="I49" s="100"/>
      <c r="J49" s="86">
        <v>0</v>
      </c>
      <c r="K49" s="87"/>
      <c r="L49" s="84">
        <v>0</v>
      </c>
      <c r="M49" s="85"/>
      <c r="N49" s="86">
        <f t="shared" ref="N49:N54" si="1">(-1)*L49*J49</f>
        <v>0</v>
      </c>
      <c r="O49" s="87"/>
      <c r="P49" s="88"/>
      <c r="Q49" s="87">
        <v>0</v>
      </c>
      <c r="R49" s="87"/>
      <c r="S49" s="85"/>
      <c r="T49" s="55"/>
      <c r="U49" s="45"/>
      <c r="V49" s="45"/>
      <c r="W49" s="6"/>
      <c r="X49" s="6"/>
    </row>
    <row r="50" spans="1:24" s="8" customFormat="1" ht="17.25" customHeight="1" thickTop="1">
      <c r="A50" s="6"/>
      <c r="B50" s="102" t="s">
        <v>234</v>
      </c>
      <c r="C50" s="102"/>
      <c r="D50" s="102"/>
      <c r="E50" s="199"/>
      <c r="F50" s="89" t="s">
        <v>64</v>
      </c>
      <c r="G50" s="89"/>
      <c r="H50" s="89"/>
      <c r="I50" s="89"/>
      <c r="J50" s="90">
        <v>120</v>
      </c>
      <c r="K50" s="91"/>
      <c r="L50" s="92">
        <v>12650</v>
      </c>
      <c r="M50" s="93"/>
      <c r="N50" s="90">
        <f t="shared" si="1"/>
        <v>-1518000</v>
      </c>
      <c r="O50" s="91"/>
      <c r="P50" s="94"/>
      <c r="Q50" s="91">
        <v>-5220000</v>
      </c>
      <c r="R50" s="91"/>
      <c r="S50" s="93"/>
      <c r="T50" s="95"/>
      <c r="U50" s="96"/>
      <c r="V50" s="96"/>
      <c r="W50" s="6"/>
      <c r="X50" s="6"/>
    </row>
    <row r="51" spans="1:24" s="8" customFormat="1" ht="17.25" customHeight="1">
      <c r="A51" s="6"/>
      <c r="B51" s="43"/>
      <c r="C51" s="43"/>
      <c r="D51" s="43"/>
      <c r="E51" s="44"/>
      <c r="F51" s="83" t="s">
        <v>65</v>
      </c>
      <c r="G51" s="83"/>
      <c r="H51" s="83"/>
      <c r="I51" s="83"/>
      <c r="J51" s="78">
        <v>285</v>
      </c>
      <c r="K51" s="79"/>
      <c r="L51" s="76">
        <v>8110</v>
      </c>
      <c r="M51" s="77"/>
      <c r="N51" s="78">
        <f t="shared" si="1"/>
        <v>-2311350</v>
      </c>
      <c r="O51" s="79"/>
      <c r="P51" s="80"/>
      <c r="Q51" s="79">
        <v>-1302450</v>
      </c>
      <c r="R51" s="79"/>
      <c r="S51" s="77"/>
      <c r="T51" s="81"/>
      <c r="U51" s="82"/>
      <c r="V51" s="82"/>
      <c r="W51" s="6"/>
      <c r="X51" s="6"/>
    </row>
    <row r="52" spans="1:24" s="8" customFormat="1" ht="17.25" customHeight="1" thickBot="1">
      <c r="A52" s="6"/>
      <c r="B52" s="45"/>
      <c r="C52" s="45"/>
      <c r="D52" s="45"/>
      <c r="E52" s="46"/>
      <c r="F52" s="48" t="s">
        <v>31</v>
      </c>
      <c r="G52" s="49"/>
      <c r="H52" s="49"/>
      <c r="I52" s="49"/>
      <c r="J52" s="49"/>
      <c r="K52" s="49"/>
      <c r="L52" s="50">
        <f>SUM(L50:M51)</f>
        <v>20760</v>
      </c>
      <c r="M52" s="51"/>
      <c r="N52" s="52">
        <f>SUM(N50:P51)</f>
        <v>-3829350</v>
      </c>
      <c r="O52" s="53"/>
      <c r="P52" s="54"/>
      <c r="Q52" s="53">
        <v>-6522450</v>
      </c>
      <c r="R52" s="53"/>
      <c r="S52" s="51"/>
      <c r="T52" s="55"/>
      <c r="U52" s="45"/>
      <c r="V52" s="45"/>
      <c r="W52" s="6"/>
      <c r="X52" s="6"/>
    </row>
    <row r="53" spans="1:24" s="8" customFormat="1" ht="17.25" customHeight="1" thickTop="1">
      <c r="A53" s="6"/>
      <c r="B53" s="43" t="s">
        <v>235</v>
      </c>
      <c r="C53" s="43"/>
      <c r="D53" s="43"/>
      <c r="E53" s="44"/>
      <c r="F53" s="83" t="s">
        <v>66</v>
      </c>
      <c r="G53" s="83"/>
      <c r="H53" s="83"/>
      <c r="I53" s="83"/>
      <c r="J53" s="78">
        <v>350</v>
      </c>
      <c r="K53" s="79"/>
      <c r="L53" s="76">
        <v>0</v>
      </c>
      <c r="M53" s="77"/>
      <c r="N53" s="78">
        <f t="shared" si="1"/>
        <v>0</v>
      </c>
      <c r="O53" s="79"/>
      <c r="P53" s="80"/>
      <c r="Q53" s="79">
        <v>0</v>
      </c>
      <c r="R53" s="79"/>
      <c r="S53" s="77"/>
      <c r="T53" s="81"/>
      <c r="U53" s="82"/>
      <c r="V53" s="82"/>
      <c r="W53" s="6"/>
      <c r="X53" s="6"/>
    </row>
    <row r="54" spans="1:24" s="8" customFormat="1" ht="17.25" customHeight="1">
      <c r="A54" s="6"/>
      <c r="B54" s="43"/>
      <c r="C54" s="43"/>
      <c r="D54" s="43"/>
      <c r="E54" s="44"/>
      <c r="F54" s="68" t="s">
        <v>63</v>
      </c>
      <c r="G54" s="68"/>
      <c r="H54" s="68"/>
      <c r="I54" s="68"/>
      <c r="J54" s="69">
        <v>300</v>
      </c>
      <c r="K54" s="70"/>
      <c r="L54" s="71">
        <v>10500</v>
      </c>
      <c r="M54" s="72"/>
      <c r="N54" s="69">
        <f t="shared" si="1"/>
        <v>-3150000</v>
      </c>
      <c r="O54" s="70"/>
      <c r="P54" s="73"/>
      <c r="Q54" s="70">
        <v>0</v>
      </c>
      <c r="R54" s="70"/>
      <c r="S54" s="72"/>
      <c r="T54" s="74"/>
      <c r="U54" s="75"/>
      <c r="V54" s="75"/>
      <c r="W54" s="6"/>
      <c r="X54" s="6"/>
    </row>
    <row r="55" spans="1:24" s="8" customFormat="1" ht="17.25" customHeight="1" thickBot="1">
      <c r="A55" s="6"/>
      <c r="B55" s="45"/>
      <c r="C55" s="45"/>
      <c r="D55" s="45"/>
      <c r="E55" s="46"/>
      <c r="F55" s="48" t="s">
        <v>31</v>
      </c>
      <c r="G55" s="49"/>
      <c r="H55" s="49"/>
      <c r="I55" s="49"/>
      <c r="J55" s="49"/>
      <c r="K55" s="49"/>
      <c r="L55" s="50">
        <f>SUM(L53:M54)</f>
        <v>10500</v>
      </c>
      <c r="M55" s="51"/>
      <c r="N55" s="52">
        <f>SUM(N53:P54)</f>
        <v>-3150000</v>
      </c>
      <c r="O55" s="53"/>
      <c r="P55" s="54"/>
      <c r="Q55" s="53">
        <v>0</v>
      </c>
      <c r="R55" s="53"/>
      <c r="S55" s="51"/>
      <c r="T55" s="55"/>
      <c r="U55" s="45"/>
      <c r="V55" s="45"/>
      <c r="W55" s="6"/>
      <c r="X55" s="6"/>
    </row>
    <row r="56" spans="1:24" s="8" customFormat="1" ht="17.25" customHeight="1" thickTop="1" thickBot="1">
      <c r="A56" s="6"/>
      <c r="B56" s="56" t="s">
        <v>67</v>
      </c>
      <c r="C56" s="57"/>
      <c r="D56" s="57"/>
      <c r="E56" s="57"/>
      <c r="F56" s="57"/>
      <c r="G56" s="57"/>
      <c r="H56" s="57"/>
      <c r="I56" s="57"/>
      <c r="J56" s="57"/>
      <c r="K56" s="58"/>
      <c r="L56" s="59">
        <f>L42+L45+L46+L47+L49+L52+L55+L48</f>
        <v>52150</v>
      </c>
      <c r="M56" s="60"/>
      <c r="N56" s="61">
        <f>N42+N45+N46+N47+N52+N55+N48</f>
        <v>-8844950</v>
      </c>
      <c r="O56" s="62"/>
      <c r="P56" s="63"/>
      <c r="Q56" s="64">
        <v>-11280450</v>
      </c>
      <c r="R56" s="64"/>
      <c r="S56" s="65"/>
      <c r="T56" s="66"/>
      <c r="U56" s="67"/>
      <c r="V56" s="67"/>
      <c r="W56" s="6"/>
      <c r="X56" s="6"/>
    </row>
    <row r="58" spans="1:24" ht="17.25" customHeight="1">
      <c r="B58" s="3" t="s">
        <v>68</v>
      </c>
    </row>
  </sheetData>
  <mergeCells count="277">
    <mergeCell ref="B50:E52"/>
    <mergeCell ref="N6:P7"/>
    <mergeCell ref="Q6:S7"/>
    <mergeCell ref="T6:V7"/>
    <mergeCell ref="B8:C8"/>
    <mergeCell ref="D8:E8"/>
    <mergeCell ref="F8:H8"/>
    <mergeCell ref="I8:J8"/>
    <mergeCell ref="K8:M8"/>
    <mergeCell ref="N8:P8"/>
    <mergeCell ref="Q8:S8"/>
    <mergeCell ref="B5:C7"/>
    <mergeCell ref="D5:H5"/>
    <mergeCell ref="I5:M5"/>
    <mergeCell ref="N5:P5"/>
    <mergeCell ref="Q5:V5"/>
    <mergeCell ref="D6:E7"/>
    <mergeCell ref="F6:H7"/>
    <mergeCell ref="I6:J7"/>
    <mergeCell ref="K6:M7"/>
    <mergeCell ref="T8:V8"/>
    <mergeCell ref="B9:C9"/>
    <mergeCell ref="D9:E9"/>
    <mergeCell ref="F9:H9"/>
    <mergeCell ref="I9:J9"/>
    <mergeCell ref="K9:M9"/>
    <mergeCell ref="N9:P9"/>
    <mergeCell ref="Q9:S9"/>
    <mergeCell ref="T9:V9"/>
    <mergeCell ref="Q10:S10"/>
    <mergeCell ref="T10:V10"/>
    <mergeCell ref="T14:V15"/>
    <mergeCell ref="L15:M15"/>
    <mergeCell ref="N15:P15"/>
    <mergeCell ref="B10:C10"/>
    <mergeCell ref="D10:E10"/>
    <mergeCell ref="F10:H10"/>
    <mergeCell ref="I10:J10"/>
    <mergeCell ref="K10:M10"/>
    <mergeCell ref="N10:P10"/>
    <mergeCell ref="T16:V16"/>
    <mergeCell ref="F17:I17"/>
    <mergeCell ref="J17:K17"/>
    <mergeCell ref="L17:M17"/>
    <mergeCell ref="N17:P17"/>
    <mergeCell ref="Q17:S17"/>
    <mergeCell ref="T17:V17"/>
    <mergeCell ref="Q15:S15"/>
    <mergeCell ref="B16:E18"/>
    <mergeCell ref="F16:I16"/>
    <mergeCell ref="J16:K16"/>
    <mergeCell ref="L16:M16"/>
    <mergeCell ref="N16:P16"/>
    <mergeCell ref="Q16:S16"/>
    <mergeCell ref="F18:K18"/>
    <mergeCell ref="L18:M18"/>
    <mergeCell ref="N18:P18"/>
    <mergeCell ref="Q18:S18"/>
    <mergeCell ref="T18:V18"/>
    <mergeCell ref="B14:E15"/>
    <mergeCell ref="F14:I15"/>
    <mergeCell ref="J14:K15"/>
    <mergeCell ref="L14:P14"/>
    <mergeCell ref="Q14:S14"/>
    <mergeCell ref="B19:E29"/>
    <mergeCell ref="F19:I19"/>
    <mergeCell ref="J19:K19"/>
    <mergeCell ref="L19:M19"/>
    <mergeCell ref="N19:P19"/>
    <mergeCell ref="Q19:S19"/>
    <mergeCell ref="T19:V19"/>
    <mergeCell ref="F20:I20"/>
    <mergeCell ref="J20:K20"/>
    <mergeCell ref="L20:M20"/>
    <mergeCell ref="N20:P20"/>
    <mergeCell ref="Q20:S20"/>
    <mergeCell ref="T20:V20"/>
    <mergeCell ref="F21:I21"/>
    <mergeCell ref="J21:K21"/>
    <mergeCell ref="L21:M21"/>
    <mergeCell ref="N21:P21"/>
    <mergeCell ref="Q21:S21"/>
    <mergeCell ref="F23:I23"/>
    <mergeCell ref="J23:K23"/>
    <mergeCell ref="L23:M23"/>
    <mergeCell ref="N23:P23"/>
    <mergeCell ref="Q23:S23"/>
    <mergeCell ref="T23:V23"/>
    <mergeCell ref="T21:V21"/>
    <mergeCell ref="F22:I22"/>
    <mergeCell ref="J22:K22"/>
    <mergeCell ref="L22:M22"/>
    <mergeCell ref="N22:P22"/>
    <mergeCell ref="Q22:S22"/>
    <mergeCell ref="T22:V22"/>
    <mergeCell ref="F25:I25"/>
    <mergeCell ref="J25:K25"/>
    <mergeCell ref="L25:M25"/>
    <mergeCell ref="N25:P25"/>
    <mergeCell ref="Q25:S25"/>
    <mergeCell ref="T25:V25"/>
    <mergeCell ref="F24:I24"/>
    <mergeCell ref="J24:K24"/>
    <mergeCell ref="L24:M24"/>
    <mergeCell ref="N24:P24"/>
    <mergeCell ref="Q24:S24"/>
    <mergeCell ref="T24:V24"/>
    <mergeCell ref="F26:I26"/>
    <mergeCell ref="L26:M26"/>
    <mergeCell ref="N26:P26"/>
    <mergeCell ref="Q26:S26"/>
    <mergeCell ref="T26:V26"/>
    <mergeCell ref="F27:I27"/>
    <mergeCell ref="J27:K27"/>
    <mergeCell ref="L27:M27"/>
    <mergeCell ref="N27:P27"/>
    <mergeCell ref="Q27:S27"/>
    <mergeCell ref="Q28:S28"/>
    <mergeCell ref="F29:K29"/>
    <mergeCell ref="L29:M29"/>
    <mergeCell ref="N29:P29"/>
    <mergeCell ref="Q29:S29"/>
    <mergeCell ref="T29:V29"/>
    <mergeCell ref="T27:V28"/>
    <mergeCell ref="F28:I28"/>
    <mergeCell ref="J28:K28"/>
    <mergeCell ref="L28:M28"/>
    <mergeCell ref="N28:P28"/>
    <mergeCell ref="T30:V30"/>
    <mergeCell ref="F31:K31"/>
    <mergeCell ref="L31:M31"/>
    <mergeCell ref="N31:P31"/>
    <mergeCell ref="Q31:S31"/>
    <mergeCell ref="T31:V31"/>
    <mergeCell ref="B30:E31"/>
    <mergeCell ref="F30:I30"/>
    <mergeCell ref="J30:K30"/>
    <mergeCell ref="L30:M30"/>
    <mergeCell ref="N30:P30"/>
    <mergeCell ref="Q30:S30"/>
    <mergeCell ref="Q33:S33"/>
    <mergeCell ref="T33:V33"/>
    <mergeCell ref="F32:I32"/>
    <mergeCell ref="J32:K32"/>
    <mergeCell ref="L32:M32"/>
    <mergeCell ref="N32:P32"/>
    <mergeCell ref="Q32:S32"/>
    <mergeCell ref="F34:I34"/>
    <mergeCell ref="J34:K34"/>
    <mergeCell ref="L34:M34"/>
    <mergeCell ref="N34:P34"/>
    <mergeCell ref="F36:K36"/>
    <mergeCell ref="L36:M36"/>
    <mergeCell ref="N36:P36"/>
    <mergeCell ref="Q36:S36"/>
    <mergeCell ref="T36:V36"/>
    <mergeCell ref="B37:K37"/>
    <mergeCell ref="L37:M37"/>
    <mergeCell ref="N37:P37"/>
    <mergeCell ref="Q37:S37"/>
    <mergeCell ref="T37:V37"/>
    <mergeCell ref="B32:E36"/>
    <mergeCell ref="Q34:S34"/>
    <mergeCell ref="T34:V34"/>
    <mergeCell ref="F35:I35"/>
    <mergeCell ref="J35:K35"/>
    <mergeCell ref="L35:M35"/>
    <mergeCell ref="N35:P35"/>
    <mergeCell ref="Q35:S35"/>
    <mergeCell ref="T35:V35"/>
    <mergeCell ref="T32:V32"/>
    <mergeCell ref="F33:I33"/>
    <mergeCell ref="J33:K33"/>
    <mergeCell ref="L33:M33"/>
    <mergeCell ref="N33:P33"/>
    <mergeCell ref="B40:E41"/>
    <mergeCell ref="F40:I41"/>
    <mergeCell ref="J40:K41"/>
    <mergeCell ref="L40:P40"/>
    <mergeCell ref="Q40:S40"/>
    <mergeCell ref="T40:V41"/>
    <mergeCell ref="L41:M41"/>
    <mergeCell ref="N41:P41"/>
    <mergeCell ref="Q41:S41"/>
    <mergeCell ref="T42:V42"/>
    <mergeCell ref="B43:E45"/>
    <mergeCell ref="F43:I43"/>
    <mergeCell ref="J43:K43"/>
    <mergeCell ref="L43:M43"/>
    <mergeCell ref="N43:P43"/>
    <mergeCell ref="Q43:S43"/>
    <mergeCell ref="T43:V43"/>
    <mergeCell ref="F44:I44"/>
    <mergeCell ref="J44:K44"/>
    <mergeCell ref="B42:E42"/>
    <mergeCell ref="F42:I42"/>
    <mergeCell ref="J42:K42"/>
    <mergeCell ref="L42:M42"/>
    <mergeCell ref="N42:P42"/>
    <mergeCell ref="Q42:S42"/>
    <mergeCell ref="L44:M44"/>
    <mergeCell ref="N44:P44"/>
    <mergeCell ref="Q44:S44"/>
    <mergeCell ref="T44:V44"/>
    <mergeCell ref="F45:K45"/>
    <mergeCell ref="L45:M45"/>
    <mergeCell ref="N45:P45"/>
    <mergeCell ref="Q45:S45"/>
    <mergeCell ref="T45:V45"/>
    <mergeCell ref="T46:V46"/>
    <mergeCell ref="B47:E47"/>
    <mergeCell ref="F47:I47"/>
    <mergeCell ref="J47:K47"/>
    <mergeCell ref="L47:M47"/>
    <mergeCell ref="N47:P47"/>
    <mergeCell ref="Q47:S47"/>
    <mergeCell ref="T47:V49"/>
    <mergeCell ref="B48:E48"/>
    <mergeCell ref="F48:I48"/>
    <mergeCell ref="B46:E46"/>
    <mergeCell ref="F46:I46"/>
    <mergeCell ref="J46:K46"/>
    <mergeCell ref="L46:M46"/>
    <mergeCell ref="N46:P46"/>
    <mergeCell ref="Q46:S46"/>
    <mergeCell ref="J48:K48"/>
    <mergeCell ref="L48:M48"/>
    <mergeCell ref="N48:P48"/>
    <mergeCell ref="Q48:S48"/>
    <mergeCell ref="B49:E49"/>
    <mergeCell ref="F49:I49"/>
    <mergeCell ref="J49:K49"/>
    <mergeCell ref="L49:M49"/>
    <mergeCell ref="N49:P49"/>
    <mergeCell ref="Q49:S49"/>
    <mergeCell ref="L53:M53"/>
    <mergeCell ref="N53:P53"/>
    <mergeCell ref="Q53:S53"/>
    <mergeCell ref="T53:V53"/>
    <mergeCell ref="F50:I50"/>
    <mergeCell ref="J50:K50"/>
    <mergeCell ref="L50:M50"/>
    <mergeCell ref="N50:P50"/>
    <mergeCell ref="Q50:S50"/>
    <mergeCell ref="T50:V50"/>
    <mergeCell ref="F51:I51"/>
    <mergeCell ref="J51:K51"/>
    <mergeCell ref="J53:K53"/>
    <mergeCell ref="F52:K52"/>
    <mergeCell ref="L52:M52"/>
    <mergeCell ref="N52:P52"/>
    <mergeCell ref="Q52:S52"/>
    <mergeCell ref="T52:V52"/>
    <mergeCell ref="B53:E55"/>
    <mergeCell ref="B2:D2"/>
    <mergeCell ref="G2:H2"/>
    <mergeCell ref="F55:K55"/>
    <mergeCell ref="L55:M55"/>
    <mergeCell ref="N55:P55"/>
    <mergeCell ref="Q55:S55"/>
    <mergeCell ref="T55:V55"/>
    <mergeCell ref="B56:K56"/>
    <mergeCell ref="L56:M56"/>
    <mergeCell ref="N56:P56"/>
    <mergeCell ref="Q56:S56"/>
    <mergeCell ref="T56:V56"/>
    <mergeCell ref="F54:I54"/>
    <mergeCell ref="J54:K54"/>
    <mergeCell ref="L54:M54"/>
    <mergeCell ref="N54:P54"/>
    <mergeCell ref="Q54:S54"/>
    <mergeCell ref="T54:V54"/>
    <mergeCell ref="L51:M51"/>
    <mergeCell ref="N51:P51"/>
    <mergeCell ref="Q51:S51"/>
    <mergeCell ref="T51:V51"/>
    <mergeCell ref="F53:I53"/>
  </mergeCells>
  <phoneticPr fontId="3" type="noConversion"/>
  <printOptions horizontalCentered="1"/>
  <pageMargins left="0.39370078740157483" right="0.39370078740157483" top="0.98425196850393704" bottom="0.59055118110236227" header="0" footer="0"/>
  <pageSetup paperSize="9" scale="81" orientation="portrait" r:id="rId1"/>
  <rowBreaks count="1" manualBreakCount="1">
    <brk id="38" max="2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1:DV53"/>
  <sheetViews>
    <sheetView showGridLines="0" tabSelected="1" zoomScale="115" zoomScaleNormal="115" workbookViewId="0">
      <pane xSplit="68" ySplit="16" topLeftCell="CO23" activePane="bottomRight" state="frozen"/>
      <selection activeCell="L31" sqref="L31"/>
      <selection pane="topRight" activeCell="L31" sqref="L31"/>
      <selection pane="bottomLeft" activeCell="L31" sqref="L31"/>
      <selection pane="bottomRight" activeCell="DJ9" sqref="DJ9"/>
    </sheetView>
  </sheetViews>
  <sheetFormatPr defaultColWidth="8.88671875" defaultRowHeight="13.5"/>
  <cols>
    <col min="1" max="1" width="7.44140625" style="12" customWidth="1"/>
    <col min="2" max="57" width="5.77734375" style="13" hidden="1" customWidth="1"/>
    <col min="58" max="62" width="8.88671875" hidden="1" customWidth="1"/>
    <col min="63" max="92" width="5.77734375" style="13" hidden="1" customWidth="1"/>
    <col min="93" max="126" width="5.77734375" style="13" customWidth="1"/>
  </cols>
  <sheetData>
    <row r="11" spans="1:126"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</row>
    <row r="12" spans="1:126"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</row>
    <row r="13" spans="1:126"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</row>
    <row r="16" spans="1:126">
      <c r="A16" s="14" t="s">
        <v>72</v>
      </c>
      <c r="B16" s="15" t="s">
        <v>73</v>
      </c>
      <c r="C16" s="15" t="s">
        <v>74</v>
      </c>
      <c r="D16" s="15" t="s">
        <v>75</v>
      </c>
      <c r="E16" s="15" t="s">
        <v>76</v>
      </c>
      <c r="F16" s="15" t="s">
        <v>77</v>
      </c>
      <c r="G16" s="15" t="s">
        <v>78</v>
      </c>
      <c r="H16" s="15" t="s">
        <v>79</v>
      </c>
      <c r="I16" s="15" t="s">
        <v>80</v>
      </c>
      <c r="J16" s="15" t="s">
        <v>81</v>
      </c>
      <c r="K16" s="15" t="s">
        <v>82</v>
      </c>
      <c r="L16" s="15" t="s">
        <v>83</v>
      </c>
      <c r="M16" s="15" t="s">
        <v>84</v>
      </c>
      <c r="N16" s="15" t="s">
        <v>85</v>
      </c>
      <c r="O16" s="15" t="s">
        <v>86</v>
      </c>
      <c r="P16" s="15" t="s">
        <v>87</v>
      </c>
      <c r="Q16" s="15" t="s">
        <v>88</v>
      </c>
      <c r="R16" s="15" t="s">
        <v>89</v>
      </c>
      <c r="S16" s="15" t="s">
        <v>90</v>
      </c>
      <c r="T16" s="15" t="s">
        <v>91</v>
      </c>
      <c r="U16" s="15" t="s">
        <v>92</v>
      </c>
      <c r="V16" s="15" t="s">
        <v>93</v>
      </c>
      <c r="W16" s="15" t="s">
        <v>94</v>
      </c>
      <c r="X16" s="15" t="s">
        <v>95</v>
      </c>
      <c r="Y16" s="15" t="s">
        <v>96</v>
      </c>
      <c r="Z16" s="15" t="s">
        <v>97</v>
      </c>
      <c r="AA16" s="15" t="s">
        <v>98</v>
      </c>
      <c r="AB16" s="15" t="s">
        <v>99</v>
      </c>
      <c r="AC16" s="15" t="s">
        <v>100</v>
      </c>
      <c r="AD16" s="15" t="s">
        <v>101</v>
      </c>
      <c r="AE16" s="15" t="s">
        <v>102</v>
      </c>
      <c r="AF16" s="15" t="s">
        <v>103</v>
      </c>
      <c r="AG16" s="15" t="s">
        <v>104</v>
      </c>
      <c r="AH16" s="15" t="s">
        <v>105</v>
      </c>
      <c r="AI16" s="15" t="s">
        <v>106</v>
      </c>
      <c r="AJ16" s="15" t="s">
        <v>107</v>
      </c>
      <c r="AK16" s="15" t="s">
        <v>108</v>
      </c>
      <c r="AL16" s="15" t="s">
        <v>109</v>
      </c>
      <c r="AM16" s="15" t="s">
        <v>110</v>
      </c>
      <c r="AN16" s="15" t="s">
        <v>111</v>
      </c>
      <c r="AO16" s="15" t="s">
        <v>112</v>
      </c>
      <c r="AP16" s="15" t="s">
        <v>113</v>
      </c>
      <c r="AQ16" s="15" t="s">
        <v>114</v>
      </c>
      <c r="AR16" s="15" t="s">
        <v>115</v>
      </c>
      <c r="AS16" s="15" t="s">
        <v>116</v>
      </c>
      <c r="AT16" s="15" t="s">
        <v>117</v>
      </c>
      <c r="AU16" s="15" t="s">
        <v>118</v>
      </c>
      <c r="AV16" s="15" t="s">
        <v>119</v>
      </c>
      <c r="AW16" s="15" t="s">
        <v>120</v>
      </c>
      <c r="AX16" s="15" t="s">
        <v>121</v>
      </c>
      <c r="AY16" s="15" t="s">
        <v>122</v>
      </c>
      <c r="AZ16" s="15" t="s">
        <v>123</v>
      </c>
      <c r="BA16" s="15" t="s">
        <v>124</v>
      </c>
      <c r="BB16" s="15" t="s">
        <v>125</v>
      </c>
      <c r="BC16" s="15" t="s">
        <v>126</v>
      </c>
      <c r="BD16" s="15" t="s">
        <v>127</v>
      </c>
      <c r="BE16" s="15" t="s">
        <v>128</v>
      </c>
      <c r="BF16" s="16" t="s">
        <v>129</v>
      </c>
      <c r="BG16" s="16" t="s">
        <v>130</v>
      </c>
      <c r="BH16" s="16" t="s">
        <v>131</v>
      </c>
      <c r="BI16" s="16" t="s">
        <v>132</v>
      </c>
      <c r="BJ16" s="16" t="s">
        <v>133</v>
      </c>
      <c r="BK16" s="15" t="s">
        <v>134</v>
      </c>
      <c r="BL16" s="15" t="s">
        <v>135</v>
      </c>
      <c r="BM16" s="15" t="s">
        <v>136</v>
      </c>
      <c r="BN16" s="15" t="s">
        <v>137</v>
      </c>
      <c r="BO16" s="15" t="s">
        <v>138</v>
      </c>
      <c r="BP16" s="15" t="s">
        <v>139</v>
      </c>
      <c r="BQ16" s="15" t="s">
        <v>140</v>
      </c>
      <c r="BR16" s="15" t="s">
        <v>141</v>
      </c>
      <c r="BS16" s="15" t="s">
        <v>142</v>
      </c>
      <c r="BT16" s="15" t="s">
        <v>143</v>
      </c>
      <c r="BU16" s="15" t="s">
        <v>144</v>
      </c>
      <c r="BV16" s="15" t="s">
        <v>145</v>
      </c>
      <c r="BW16" s="15" t="s">
        <v>146</v>
      </c>
      <c r="BX16" s="15" t="s">
        <v>147</v>
      </c>
      <c r="BY16" s="15" t="s">
        <v>148</v>
      </c>
      <c r="BZ16" s="15" t="s">
        <v>149</v>
      </c>
      <c r="CA16" s="15" t="s">
        <v>150</v>
      </c>
      <c r="CB16" s="15" t="s">
        <v>151</v>
      </c>
      <c r="CC16" s="15" t="s">
        <v>152</v>
      </c>
      <c r="CD16" s="15" t="s">
        <v>153</v>
      </c>
      <c r="CE16" s="15" t="s">
        <v>154</v>
      </c>
      <c r="CF16" s="15" t="s">
        <v>155</v>
      </c>
      <c r="CG16" s="15" t="s">
        <v>156</v>
      </c>
      <c r="CH16" s="15" t="s">
        <v>157</v>
      </c>
      <c r="CI16" s="15" t="s">
        <v>158</v>
      </c>
      <c r="CJ16" s="15" t="s">
        <v>159</v>
      </c>
      <c r="CK16" s="15" t="s">
        <v>160</v>
      </c>
      <c r="CL16" s="15" t="s">
        <v>161</v>
      </c>
      <c r="CM16" s="15" t="s">
        <v>162</v>
      </c>
      <c r="CN16" s="15" t="s">
        <v>163</v>
      </c>
      <c r="CO16" s="15" t="s">
        <v>164</v>
      </c>
      <c r="CP16" s="15" t="s">
        <v>165</v>
      </c>
      <c r="CQ16" s="15" t="s">
        <v>166</v>
      </c>
      <c r="CR16" s="15" t="s">
        <v>167</v>
      </c>
      <c r="CS16" s="15" t="s">
        <v>168</v>
      </c>
      <c r="CT16" s="15" t="s">
        <v>169</v>
      </c>
      <c r="CU16" s="15" t="s">
        <v>170</v>
      </c>
      <c r="CV16" s="15" t="s">
        <v>171</v>
      </c>
      <c r="CW16" s="15" t="s">
        <v>172</v>
      </c>
      <c r="CX16" s="15" t="s">
        <v>173</v>
      </c>
      <c r="CY16" s="15" t="s">
        <v>174</v>
      </c>
      <c r="CZ16" s="15" t="s">
        <v>175</v>
      </c>
      <c r="DA16" s="15" t="s">
        <v>218</v>
      </c>
      <c r="DB16" s="15" t="s">
        <v>219</v>
      </c>
      <c r="DC16" s="15" t="s">
        <v>220</v>
      </c>
      <c r="DD16" s="15" t="s">
        <v>221</v>
      </c>
      <c r="DE16" s="15" t="s">
        <v>222</v>
      </c>
      <c r="DF16" s="15" t="s">
        <v>223</v>
      </c>
      <c r="DG16" s="15" t="s">
        <v>224</v>
      </c>
      <c r="DH16" s="15" t="s">
        <v>225</v>
      </c>
      <c r="DI16" s="15" t="s">
        <v>226</v>
      </c>
      <c r="DJ16" s="15" t="s">
        <v>227</v>
      </c>
      <c r="DK16" s="15" t="s">
        <v>228</v>
      </c>
      <c r="DL16" s="15" t="s">
        <v>229</v>
      </c>
      <c r="DM16" s="17" t="s">
        <v>216</v>
      </c>
      <c r="DN16" s="17" t="s">
        <v>217</v>
      </c>
      <c r="DO16" s="15" t="s">
        <v>176</v>
      </c>
      <c r="DP16" s="15" t="s">
        <v>177</v>
      </c>
      <c r="DQ16" s="15" t="s">
        <v>178</v>
      </c>
      <c r="DR16" s="15" t="s">
        <v>179</v>
      </c>
      <c r="DS16" s="15" t="s">
        <v>180</v>
      </c>
      <c r="DT16" s="15" t="s">
        <v>181</v>
      </c>
      <c r="DU16" s="15" t="s">
        <v>182</v>
      </c>
      <c r="DV16" s="15" t="s">
        <v>183</v>
      </c>
    </row>
    <row r="17" spans="1:126">
      <c r="A17" s="14" t="s">
        <v>184</v>
      </c>
      <c r="B17" s="18">
        <v>105100</v>
      </c>
      <c r="C17" s="18">
        <v>59030</v>
      </c>
      <c r="D17" s="18">
        <v>30040</v>
      </c>
      <c r="E17" s="18">
        <v>114760</v>
      </c>
      <c r="F17" s="18">
        <v>81730</v>
      </c>
      <c r="G17" s="18">
        <v>82900</v>
      </c>
      <c r="H17" s="18">
        <v>50240</v>
      </c>
      <c r="I17" s="18">
        <v>93031</v>
      </c>
      <c r="J17" s="18">
        <v>29250</v>
      </c>
      <c r="K17" s="18">
        <v>73880</v>
      </c>
      <c r="L17" s="18">
        <v>57900</v>
      </c>
      <c r="M17" s="18">
        <v>62920</v>
      </c>
      <c r="N17" s="18">
        <v>79092</v>
      </c>
      <c r="O17" s="18">
        <v>76900</v>
      </c>
      <c r="P17" s="18">
        <v>89010</v>
      </c>
      <c r="Q17" s="18">
        <v>126272</v>
      </c>
      <c r="R17" s="18">
        <v>69280</v>
      </c>
      <c r="S17" s="18">
        <v>95750</v>
      </c>
      <c r="T17" s="18">
        <v>61450</v>
      </c>
      <c r="U17" s="18">
        <v>121884</v>
      </c>
      <c r="V17" s="18">
        <v>66620</v>
      </c>
      <c r="W17" s="18">
        <v>128550</v>
      </c>
      <c r="X17" s="18">
        <v>69950</v>
      </c>
      <c r="Y17" s="18">
        <v>104790</v>
      </c>
      <c r="Z17" s="18">
        <v>116860</v>
      </c>
      <c r="AA17" s="18">
        <v>100000</v>
      </c>
      <c r="AB17" s="18">
        <v>96325</v>
      </c>
      <c r="AC17" s="18">
        <v>55680</v>
      </c>
      <c r="AD17" s="18">
        <v>141474</v>
      </c>
      <c r="AE17" s="18">
        <v>112060</v>
      </c>
      <c r="AF17" s="18">
        <v>98160</v>
      </c>
      <c r="AG17" s="18">
        <v>98950</v>
      </c>
      <c r="AH17" s="18">
        <v>77290</v>
      </c>
      <c r="AI17" s="18">
        <v>53310</v>
      </c>
      <c r="AJ17" s="18">
        <v>138120</v>
      </c>
      <c r="AK17" s="18">
        <v>80720</v>
      </c>
      <c r="AL17" s="18">
        <v>65670</v>
      </c>
      <c r="AM17" s="18">
        <v>116830</v>
      </c>
      <c r="AN17" s="18">
        <v>72130</v>
      </c>
      <c r="AO17" s="18">
        <v>117350</v>
      </c>
      <c r="AP17" s="18">
        <v>90080</v>
      </c>
      <c r="AQ17" s="18">
        <v>126120</v>
      </c>
      <c r="AR17" s="18">
        <v>77700</v>
      </c>
      <c r="AS17" s="18">
        <v>81950</v>
      </c>
      <c r="AT17" s="18">
        <v>80760</v>
      </c>
      <c r="AU17" s="18">
        <v>88140</v>
      </c>
      <c r="AV17" s="18">
        <v>95270</v>
      </c>
      <c r="AW17" s="18">
        <v>46490</v>
      </c>
      <c r="AX17" s="18">
        <v>90600</v>
      </c>
      <c r="AY17" s="18">
        <v>77390</v>
      </c>
      <c r="AZ17" s="18">
        <v>56730</v>
      </c>
      <c r="BA17" s="18">
        <v>90930</v>
      </c>
      <c r="BB17" s="18">
        <v>123280</v>
      </c>
      <c r="BC17" s="18">
        <v>99850</v>
      </c>
      <c r="BD17" s="18">
        <v>110940</v>
      </c>
      <c r="BE17" s="18">
        <v>75940</v>
      </c>
      <c r="BF17" s="19">
        <v>56640</v>
      </c>
      <c r="BG17" s="19">
        <v>83210</v>
      </c>
      <c r="BH17" s="19">
        <v>122820</v>
      </c>
      <c r="BI17" s="19">
        <v>83940</v>
      </c>
      <c r="BJ17" s="19">
        <v>123250</v>
      </c>
      <c r="BK17" s="18">
        <v>93490</v>
      </c>
      <c r="BL17" s="18">
        <v>52150</v>
      </c>
      <c r="BM17" s="18">
        <v>51700</v>
      </c>
      <c r="BN17" s="18">
        <v>92650</v>
      </c>
      <c r="BO17" s="18">
        <v>55010</v>
      </c>
      <c r="BP17" s="18">
        <v>99550</v>
      </c>
      <c r="BQ17" s="20">
        <v>42240</v>
      </c>
      <c r="BR17" s="20">
        <v>105890</v>
      </c>
      <c r="BS17" s="20">
        <v>93910</v>
      </c>
      <c r="BT17" s="20">
        <v>81390</v>
      </c>
      <c r="BU17" s="20">
        <v>69650</v>
      </c>
      <c r="BV17" s="20">
        <v>42500</v>
      </c>
      <c r="BW17" s="20">
        <v>103230</v>
      </c>
      <c r="BX17" s="20">
        <v>104170</v>
      </c>
      <c r="BY17" s="20">
        <v>143050</v>
      </c>
      <c r="BZ17" s="20">
        <v>53085.3</v>
      </c>
      <c r="CA17" s="20">
        <v>107652</v>
      </c>
      <c r="CB17" s="20">
        <v>155653</v>
      </c>
      <c r="CC17" s="20">
        <v>49530</v>
      </c>
      <c r="CD17" s="20">
        <v>91590</v>
      </c>
      <c r="CE17" s="20">
        <v>173860</v>
      </c>
      <c r="CF17" s="20">
        <v>102190</v>
      </c>
      <c r="CG17" s="20">
        <v>119290</v>
      </c>
      <c r="CH17" s="20">
        <v>96576</v>
      </c>
      <c r="CI17" s="18">
        <v>107000</v>
      </c>
      <c r="CJ17" s="18">
        <v>113220</v>
      </c>
      <c r="CK17" s="18">
        <v>116390</v>
      </c>
      <c r="CL17" s="18">
        <v>96430</v>
      </c>
      <c r="CM17" s="21">
        <v>113640</v>
      </c>
      <c r="CN17" s="18">
        <v>74290</v>
      </c>
      <c r="CO17" s="18">
        <v>128140</v>
      </c>
      <c r="CP17" s="18">
        <v>117500</v>
      </c>
      <c r="CQ17" s="18">
        <v>49770</v>
      </c>
      <c r="CR17" s="18">
        <v>131600</v>
      </c>
      <c r="CS17" s="18">
        <v>102100</v>
      </c>
      <c r="CT17" s="18">
        <v>106780</v>
      </c>
      <c r="CU17" s="18">
        <v>119590</v>
      </c>
      <c r="CV17" s="18">
        <v>30870</v>
      </c>
      <c r="CW17" s="18">
        <v>132230</v>
      </c>
      <c r="CX17" s="18">
        <v>101330</v>
      </c>
      <c r="CY17" s="18">
        <v>88707</v>
      </c>
      <c r="CZ17" s="18">
        <v>137984</v>
      </c>
      <c r="DA17" s="18">
        <v>107050</v>
      </c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22">
        <f>AVERAGE(DA17:DL17)</f>
        <v>107050</v>
      </c>
      <c r="DN17" s="18">
        <f>SUM(DA17:DL17)</f>
        <v>107050</v>
      </c>
      <c r="DO17" s="18">
        <f>AVERAGE(CO17:CZ17)</f>
        <v>103883.41666666667</v>
      </c>
      <c r="DP17" s="18">
        <f>SUM(CO17:CZ17)</f>
        <v>1246601</v>
      </c>
      <c r="DQ17" s="18">
        <v>122035.41666666667</v>
      </c>
      <c r="DR17" s="18">
        <v>1464425</v>
      </c>
      <c r="DS17" s="22">
        <v>104500.5</v>
      </c>
      <c r="DT17" s="23">
        <v>1254006</v>
      </c>
      <c r="DU17" s="23">
        <v>91868.358333333337</v>
      </c>
      <c r="DV17" s="23">
        <v>1102420.3</v>
      </c>
    </row>
    <row r="18" spans="1:126">
      <c r="A18" s="14" t="s">
        <v>28</v>
      </c>
      <c r="B18" s="18">
        <v>5307100</v>
      </c>
      <c r="C18" s="18">
        <v>2825700</v>
      </c>
      <c r="D18" s="18">
        <v>939200</v>
      </c>
      <c r="E18" s="18">
        <v>5534900</v>
      </c>
      <c r="F18" s="18">
        <v>3555100</v>
      </c>
      <c r="G18" s="18">
        <v>3301100</v>
      </c>
      <c r="H18" s="18">
        <v>2495200</v>
      </c>
      <c r="I18" s="18">
        <v>3184920</v>
      </c>
      <c r="J18" s="18">
        <v>1547900</v>
      </c>
      <c r="K18" s="18">
        <v>3010600</v>
      </c>
      <c r="L18" s="18">
        <v>2561400</v>
      </c>
      <c r="M18" s="18">
        <v>2205600</v>
      </c>
      <c r="N18" s="18">
        <v>2833440</v>
      </c>
      <c r="O18" s="18">
        <v>3154800</v>
      </c>
      <c r="P18" s="18">
        <v>3939500</v>
      </c>
      <c r="Q18" s="18">
        <v>5128040</v>
      </c>
      <c r="R18" s="18">
        <v>2517300</v>
      </c>
      <c r="S18" s="18">
        <v>3906800</v>
      </c>
      <c r="T18" s="18">
        <v>2387000</v>
      </c>
      <c r="U18" s="18">
        <v>4932780</v>
      </c>
      <c r="V18" s="18">
        <v>2682900</v>
      </c>
      <c r="W18" s="18">
        <v>7018100</v>
      </c>
      <c r="X18" s="18">
        <v>3094000</v>
      </c>
      <c r="Y18" s="18">
        <v>5688500</v>
      </c>
      <c r="Z18" s="18">
        <v>6422300</v>
      </c>
      <c r="AA18" s="18">
        <v>4629600</v>
      </c>
      <c r="AB18" s="18">
        <v>5363300</v>
      </c>
      <c r="AC18" s="18">
        <v>2720400</v>
      </c>
      <c r="AD18" s="18">
        <v>7613380</v>
      </c>
      <c r="AE18" s="18">
        <v>4907500</v>
      </c>
      <c r="AF18" s="18">
        <v>5460000</v>
      </c>
      <c r="AG18" s="18">
        <v>5515400</v>
      </c>
      <c r="AH18" s="18">
        <v>3624500</v>
      </c>
      <c r="AI18" s="18">
        <v>3699600</v>
      </c>
      <c r="AJ18" s="18">
        <v>10170200</v>
      </c>
      <c r="AK18" s="18">
        <v>4124100</v>
      </c>
      <c r="AL18" s="18">
        <v>4337100</v>
      </c>
      <c r="AM18" s="18">
        <v>8466100</v>
      </c>
      <c r="AN18" s="18">
        <v>6136500</v>
      </c>
      <c r="AO18" s="18">
        <v>8392300</v>
      </c>
      <c r="AP18" s="18">
        <v>7526700</v>
      </c>
      <c r="AQ18" s="18">
        <v>8518500</v>
      </c>
      <c r="AR18" s="18">
        <v>6280900</v>
      </c>
      <c r="AS18" s="18">
        <v>5126400</v>
      </c>
      <c r="AT18" s="18">
        <v>5485200</v>
      </c>
      <c r="AU18" s="18">
        <v>5955400</v>
      </c>
      <c r="AV18" s="18">
        <v>6116300</v>
      </c>
      <c r="AW18" s="18">
        <v>3843600</v>
      </c>
      <c r="AX18" s="18">
        <v>5709100</v>
      </c>
      <c r="AY18" s="18">
        <v>4806500</v>
      </c>
      <c r="AZ18" s="18">
        <v>3360500</v>
      </c>
      <c r="BA18" s="18">
        <v>6889100</v>
      </c>
      <c r="BB18" s="18">
        <v>7868400</v>
      </c>
      <c r="BC18" s="18">
        <v>6174600</v>
      </c>
      <c r="BD18" s="18">
        <v>7153900</v>
      </c>
      <c r="BE18" s="18">
        <v>2583900</v>
      </c>
      <c r="BF18" s="19">
        <v>2142500</v>
      </c>
      <c r="BG18" s="19">
        <v>2771100</v>
      </c>
      <c r="BH18" s="19">
        <v>4077900</v>
      </c>
      <c r="BI18" s="19">
        <v>2766000</v>
      </c>
      <c r="BJ18" s="19">
        <v>3564300</v>
      </c>
      <c r="BK18" s="18">
        <v>3366500</v>
      </c>
      <c r="BL18" s="18">
        <v>2055000</v>
      </c>
      <c r="BM18" s="18">
        <v>1926600</v>
      </c>
      <c r="BN18" s="18">
        <v>2909800</v>
      </c>
      <c r="BO18" s="18">
        <v>2044600</v>
      </c>
      <c r="BP18" s="18">
        <v>3091400</v>
      </c>
      <c r="BQ18" s="20">
        <v>1884800</v>
      </c>
      <c r="BR18" s="20">
        <v>1777400</v>
      </c>
      <c r="BS18" s="20">
        <v>1935300</v>
      </c>
      <c r="BT18" s="20">
        <v>1150900</v>
      </c>
      <c r="BU18" s="20">
        <v>1554700</v>
      </c>
      <c r="BV18" s="20">
        <v>1883100</v>
      </c>
      <c r="BW18" s="20">
        <v>1340500</v>
      </c>
      <c r="BX18" s="20">
        <v>1479300</v>
      </c>
      <c r="BY18" s="20">
        <v>3739200</v>
      </c>
      <c r="BZ18" s="20">
        <v>24478500</v>
      </c>
      <c r="CA18" s="20">
        <v>6537400</v>
      </c>
      <c r="CB18" s="20">
        <v>11945100</v>
      </c>
      <c r="CC18" s="20">
        <v>3932750</v>
      </c>
      <c r="CD18" s="20">
        <v>15169600</v>
      </c>
      <c r="CE18" s="20">
        <v>21439350</v>
      </c>
      <c r="CF18" s="20">
        <v>9470650</v>
      </c>
      <c r="CG18" s="20">
        <v>11414650</v>
      </c>
      <c r="CH18" s="20">
        <v>10168750</v>
      </c>
      <c r="CI18" s="18">
        <v>9903700</v>
      </c>
      <c r="CJ18" s="18">
        <v>11320400</v>
      </c>
      <c r="CK18" s="18">
        <v>10757350</v>
      </c>
      <c r="CL18" s="18">
        <v>10050600</v>
      </c>
      <c r="CM18" s="21">
        <v>11845750</v>
      </c>
      <c r="CN18" s="18">
        <v>5088550</v>
      </c>
      <c r="CO18" s="18">
        <v>13023850</v>
      </c>
      <c r="CP18" s="18">
        <v>8447300</v>
      </c>
      <c r="CQ18" s="18">
        <v>3363500</v>
      </c>
      <c r="CR18" s="18">
        <v>9537350</v>
      </c>
      <c r="CS18" s="18">
        <v>7454200</v>
      </c>
      <c r="CT18" s="18">
        <v>8952600</v>
      </c>
      <c r="CU18" s="18">
        <v>8278200</v>
      </c>
      <c r="CV18" s="18">
        <v>1604200</v>
      </c>
      <c r="CW18" s="18">
        <v>10594800</v>
      </c>
      <c r="CX18" s="18">
        <v>8016000</v>
      </c>
      <c r="CY18" s="18">
        <v>18048240</v>
      </c>
      <c r="CZ18" s="18">
        <v>12803920</v>
      </c>
      <c r="DA18" s="18">
        <v>8137550</v>
      </c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22">
        <f>AVERAGE(DA18:DL18)</f>
        <v>8137550</v>
      </c>
      <c r="DN18" s="18">
        <f>SUM(DA18:DL18)</f>
        <v>8137550</v>
      </c>
      <c r="DO18" s="18">
        <f>AVERAGE(CO18:CZ18)</f>
        <v>9177013.333333334</v>
      </c>
      <c r="DP18" s="18">
        <f>SUM(CO18:CZ18)</f>
        <v>110124160</v>
      </c>
      <c r="DQ18" s="18">
        <v>11253266.666666666</v>
      </c>
      <c r="DR18" s="18">
        <v>135039200</v>
      </c>
      <c r="DS18" s="22">
        <v>10880175</v>
      </c>
      <c r="DT18" s="23">
        <v>130562100</v>
      </c>
      <c r="DU18" s="23">
        <v>4975516.666666667</v>
      </c>
      <c r="DV18" s="23">
        <v>59706200</v>
      </c>
    </row>
    <row r="19" spans="1:126">
      <c r="A19" s="14" t="s">
        <v>3</v>
      </c>
      <c r="B19" s="18">
        <v>84840</v>
      </c>
      <c r="C19" s="18">
        <v>55250</v>
      </c>
      <c r="D19" s="18">
        <v>43570</v>
      </c>
      <c r="E19" s="18">
        <v>77300</v>
      </c>
      <c r="F19" s="18">
        <v>85640</v>
      </c>
      <c r="G19" s="18">
        <v>109760</v>
      </c>
      <c r="H19" s="18">
        <v>46020</v>
      </c>
      <c r="I19" s="18">
        <v>99470</v>
      </c>
      <c r="J19" s="18">
        <v>49465</v>
      </c>
      <c r="K19" s="18">
        <v>63220</v>
      </c>
      <c r="L19" s="18">
        <v>49240</v>
      </c>
      <c r="M19" s="18">
        <v>62710</v>
      </c>
      <c r="N19" s="18">
        <v>92280</v>
      </c>
      <c r="O19" s="18">
        <v>38010</v>
      </c>
      <c r="P19" s="18">
        <v>102000</v>
      </c>
      <c r="Q19" s="18">
        <v>100730</v>
      </c>
      <c r="R19" s="18">
        <v>49410</v>
      </c>
      <c r="S19" s="18">
        <v>64640</v>
      </c>
      <c r="T19" s="18">
        <v>64900</v>
      </c>
      <c r="U19" s="18">
        <v>64760</v>
      </c>
      <c r="V19" s="18">
        <v>65990</v>
      </c>
      <c r="W19" s="18">
        <v>42020</v>
      </c>
      <c r="X19" s="18">
        <v>73755</v>
      </c>
      <c r="Y19" s="18">
        <v>74840</v>
      </c>
      <c r="Z19" s="18">
        <v>71900</v>
      </c>
      <c r="AA19" s="18">
        <v>28610</v>
      </c>
      <c r="AB19" s="18">
        <v>98740</v>
      </c>
      <c r="AC19" s="18">
        <v>53790</v>
      </c>
      <c r="AD19" s="18">
        <v>32060</v>
      </c>
      <c r="AE19" s="18">
        <v>52400</v>
      </c>
      <c r="AF19" s="18">
        <v>87370</v>
      </c>
      <c r="AG19" s="18">
        <v>73090</v>
      </c>
      <c r="AH19" s="18">
        <v>44410</v>
      </c>
      <c r="AI19" s="18">
        <v>40370</v>
      </c>
      <c r="AJ19" s="18">
        <v>82870</v>
      </c>
      <c r="AK19" s="18">
        <v>33420</v>
      </c>
      <c r="AL19" s="18">
        <v>76110</v>
      </c>
      <c r="AM19" s="18">
        <v>39450</v>
      </c>
      <c r="AN19" s="18">
        <v>68180</v>
      </c>
      <c r="AO19" s="18">
        <v>64740</v>
      </c>
      <c r="AP19" s="18">
        <v>78720</v>
      </c>
      <c r="AQ19" s="18">
        <v>105810</v>
      </c>
      <c r="AR19" s="18">
        <v>113120</v>
      </c>
      <c r="AS19" s="18">
        <v>31780</v>
      </c>
      <c r="AT19" s="18">
        <v>63170</v>
      </c>
      <c r="AU19" s="18">
        <v>72400</v>
      </c>
      <c r="AV19" s="18">
        <v>46010</v>
      </c>
      <c r="AW19" s="18">
        <v>49860</v>
      </c>
      <c r="AX19" s="18">
        <v>69840</v>
      </c>
      <c r="AY19" s="18">
        <v>46130</v>
      </c>
      <c r="AZ19" s="18">
        <v>39620</v>
      </c>
      <c r="BA19" s="18">
        <v>75200</v>
      </c>
      <c r="BB19" s="18">
        <v>55650</v>
      </c>
      <c r="BC19" s="18">
        <v>84940</v>
      </c>
      <c r="BD19" s="18">
        <v>72070</v>
      </c>
      <c r="BE19" s="18">
        <v>56500</v>
      </c>
      <c r="BF19" s="19">
        <v>57770</v>
      </c>
      <c r="BG19" s="19">
        <v>75420</v>
      </c>
      <c r="BH19" s="19">
        <v>101370</v>
      </c>
      <c r="BI19" s="19">
        <v>95380</v>
      </c>
      <c r="BJ19" s="19">
        <v>78035</v>
      </c>
      <c r="BK19" s="18">
        <v>70685</v>
      </c>
      <c r="BL19" s="18">
        <v>50930</v>
      </c>
      <c r="BM19" s="18">
        <v>67680</v>
      </c>
      <c r="BN19" s="18">
        <v>35085</v>
      </c>
      <c r="BO19" s="18">
        <v>99360</v>
      </c>
      <c r="BP19" s="18">
        <v>70630</v>
      </c>
      <c r="BQ19" s="20">
        <v>64185</v>
      </c>
      <c r="BR19" s="20">
        <v>50390</v>
      </c>
      <c r="BS19" s="20">
        <v>108970</v>
      </c>
      <c r="BT19" s="20">
        <v>50860</v>
      </c>
      <c r="BU19" s="20">
        <v>71480</v>
      </c>
      <c r="BV19" s="20">
        <v>39400</v>
      </c>
      <c r="BW19" s="20">
        <v>38120</v>
      </c>
      <c r="BX19" s="20">
        <v>63400</v>
      </c>
      <c r="BY19" s="20">
        <v>72269</v>
      </c>
      <c r="BZ19" s="20">
        <v>26822</v>
      </c>
      <c r="CA19" s="20">
        <v>66014</v>
      </c>
      <c r="CB19" s="20">
        <v>70263</v>
      </c>
      <c r="CC19" s="20">
        <v>40771</v>
      </c>
      <c r="CD19" s="20">
        <v>52300</v>
      </c>
      <c r="CE19" s="20">
        <v>53067</v>
      </c>
      <c r="CF19" s="20">
        <v>49901</v>
      </c>
      <c r="CG19" s="20">
        <v>40820</v>
      </c>
      <c r="CH19" s="20">
        <v>41711</v>
      </c>
      <c r="CI19" s="18">
        <v>44621</v>
      </c>
      <c r="CJ19" s="18">
        <v>34661</v>
      </c>
      <c r="CK19" s="18">
        <v>66790</v>
      </c>
      <c r="CL19" s="18">
        <v>49567</v>
      </c>
      <c r="CM19" s="21">
        <v>63816</v>
      </c>
      <c r="CN19" s="18">
        <v>38061</v>
      </c>
      <c r="CO19" s="18">
        <v>89240</v>
      </c>
      <c r="CP19" s="18">
        <v>54440</v>
      </c>
      <c r="CQ19" s="18">
        <v>70733</v>
      </c>
      <c r="CR19" s="18">
        <v>41270</v>
      </c>
      <c r="CS19" s="18">
        <v>45580</v>
      </c>
      <c r="CT19" s="18">
        <v>52800</v>
      </c>
      <c r="CU19" s="18">
        <v>44240</v>
      </c>
      <c r="CV19" s="18">
        <v>32160</v>
      </c>
      <c r="CW19" s="18">
        <v>47924</v>
      </c>
      <c r="CX19" s="18">
        <v>34390</v>
      </c>
      <c r="CY19" s="18">
        <v>63740</v>
      </c>
      <c r="CZ19" s="18">
        <v>67840</v>
      </c>
      <c r="DA19" s="18">
        <v>89566</v>
      </c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22">
        <f>AVERAGE(DA19:DL19)</f>
        <v>89566</v>
      </c>
      <c r="DN19" s="18">
        <f>SUM(DA19:DL19)</f>
        <v>89566</v>
      </c>
      <c r="DO19" s="18">
        <f>AVERAGE(CO19:CZ19)</f>
        <v>53696.416666666664</v>
      </c>
      <c r="DP19" s="18">
        <f>SUM(CO19:CZ19)</f>
        <v>644357</v>
      </c>
      <c r="DQ19" s="18">
        <v>47209.416666666664</v>
      </c>
      <c r="DR19" s="18">
        <v>566513</v>
      </c>
      <c r="DS19" s="22">
        <v>48007.166666666664</v>
      </c>
      <c r="DT19" s="23">
        <v>576086</v>
      </c>
      <c r="DU19" s="23">
        <v>60181.083333333336</v>
      </c>
      <c r="DV19" s="23">
        <v>722173</v>
      </c>
    </row>
    <row r="20" spans="1:126">
      <c r="A20" s="14" t="s">
        <v>2</v>
      </c>
      <c r="B20" s="18">
        <v>12336110</v>
      </c>
      <c r="C20" s="18">
        <v>6410700</v>
      </c>
      <c r="D20" s="18">
        <v>5841120</v>
      </c>
      <c r="E20" s="18">
        <v>10560160</v>
      </c>
      <c r="F20" s="18">
        <v>11266900</v>
      </c>
      <c r="G20" s="18">
        <v>11759510</v>
      </c>
      <c r="H20" s="18">
        <v>11759510</v>
      </c>
      <c r="I20" s="18">
        <v>13814740</v>
      </c>
      <c r="J20" s="18">
        <v>7120820</v>
      </c>
      <c r="K20" s="18">
        <v>6784620</v>
      </c>
      <c r="L20" s="18">
        <v>5877310</v>
      </c>
      <c r="M20" s="18">
        <v>10144580</v>
      </c>
      <c r="N20" s="18">
        <v>3918340</v>
      </c>
      <c r="O20" s="18">
        <v>4790750</v>
      </c>
      <c r="P20" s="18">
        <v>11932550</v>
      </c>
      <c r="Q20" s="18">
        <v>11910250</v>
      </c>
      <c r="R20" s="18">
        <v>9598450</v>
      </c>
      <c r="S20" s="18">
        <v>9398700</v>
      </c>
      <c r="T20" s="18">
        <v>7722650</v>
      </c>
      <c r="U20" s="18">
        <v>7776550</v>
      </c>
      <c r="V20" s="18">
        <v>11175400</v>
      </c>
      <c r="W20" s="18">
        <v>8805900</v>
      </c>
      <c r="X20" s="18">
        <v>8511850</v>
      </c>
      <c r="Y20" s="18">
        <v>8111850</v>
      </c>
      <c r="Z20" s="18">
        <v>8363800</v>
      </c>
      <c r="AA20" s="18">
        <v>3926800</v>
      </c>
      <c r="AB20" s="18">
        <v>11086100</v>
      </c>
      <c r="AC20" s="18">
        <v>11022150</v>
      </c>
      <c r="AD20" s="18">
        <v>4667950</v>
      </c>
      <c r="AE20" s="18">
        <v>11765100</v>
      </c>
      <c r="AF20" s="18">
        <v>17690650</v>
      </c>
      <c r="AG20" s="18">
        <v>17380300</v>
      </c>
      <c r="AH20" s="18">
        <v>8853450</v>
      </c>
      <c r="AI20" s="18">
        <v>9335500</v>
      </c>
      <c r="AJ20" s="18">
        <v>12639750</v>
      </c>
      <c r="AK20" s="18">
        <v>7903950</v>
      </c>
      <c r="AL20" s="18">
        <v>13571550</v>
      </c>
      <c r="AM20" s="18">
        <v>8010500</v>
      </c>
      <c r="AN20" s="18">
        <v>12574200</v>
      </c>
      <c r="AO20" s="18">
        <v>15664100</v>
      </c>
      <c r="AP20" s="18">
        <v>8338850</v>
      </c>
      <c r="AQ20" s="18">
        <v>26789950</v>
      </c>
      <c r="AR20" s="18">
        <v>25528100</v>
      </c>
      <c r="AS20" s="18">
        <v>5538000</v>
      </c>
      <c r="AT20" s="18">
        <v>11761900</v>
      </c>
      <c r="AU20" s="18">
        <v>15338700</v>
      </c>
      <c r="AV20" s="18">
        <v>10057350</v>
      </c>
      <c r="AW20" s="18">
        <v>9178100</v>
      </c>
      <c r="AX20" s="18">
        <v>15057300</v>
      </c>
      <c r="AY20" s="18">
        <v>7917200</v>
      </c>
      <c r="AZ20" s="18">
        <v>7843700</v>
      </c>
      <c r="BA20" s="18">
        <v>18030600</v>
      </c>
      <c r="BB20" s="18">
        <v>11077300</v>
      </c>
      <c r="BC20" s="18">
        <v>11425300</v>
      </c>
      <c r="BD20" s="18">
        <v>17620150</v>
      </c>
      <c r="BE20" s="18">
        <v>10374000</v>
      </c>
      <c r="BF20" s="19">
        <v>9851050</v>
      </c>
      <c r="BG20" s="19">
        <v>15359050</v>
      </c>
      <c r="BH20" s="19">
        <v>44103550</v>
      </c>
      <c r="BI20" s="19">
        <v>30354850</v>
      </c>
      <c r="BJ20" s="19">
        <v>24075000</v>
      </c>
      <c r="BK20" s="18">
        <v>12950750</v>
      </c>
      <c r="BL20" s="18">
        <v>7412850</v>
      </c>
      <c r="BM20" s="18">
        <v>13734400</v>
      </c>
      <c r="BN20" s="18">
        <v>5099800</v>
      </c>
      <c r="BO20" s="18">
        <v>23314050</v>
      </c>
      <c r="BP20" s="18">
        <v>18072550</v>
      </c>
      <c r="BQ20" s="20">
        <v>10657500</v>
      </c>
      <c r="BR20" s="20">
        <v>7028100</v>
      </c>
      <c r="BS20" s="20">
        <v>14920000</v>
      </c>
      <c r="BT20" s="20">
        <v>8337450</v>
      </c>
      <c r="BU20" s="20">
        <v>17712000</v>
      </c>
      <c r="BV20" s="20">
        <v>5995450</v>
      </c>
      <c r="BW20" s="20">
        <v>5742400</v>
      </c>
      <c r="BX20" s="20">
        <v>10579800</v>
      </c>
      <c r="BY20" s="20">
        <v>13632200</v>
      </c>
      <c r="BZ20" s="20">
        <v>6261200</v>
      </c>
      <c r="CA20" s="20">
        <v>12234100</v>
      </c>
      <c r="CB20" s="20">
        <v>15442400</v>
      </c>
      <c r="CC20" s="20">
        <v>-5949900</v>
      </c>
      <c r="CD20" s="20">
        <v>-9202650</v>
      </c>
      <c r="CE20" s="20">
        <v>-9544450</v>
      </c>
      <c r="CF20" s="20">
        <v>-9192850</v>
      </c>
      <c r="CG20" s="20">
        <v>-7961850</v>
      </c>
      <c r="CH20" s="20">
        <v>-8516100</v>
      </c>
      <c r="CI20" s="18">
        <v>-8459950</v>
      </c>
      <c r="CJ20" s="18">
        <v>-4874200</v>
      </c>
      <c r="CK20" s="18">
        <v>-13853450</v>
      </c>
      <c r="CL20" s="18">
        <v>-7671450</v>
      </c>
      <c r="CM20" s="21">
        <v>-11368750</v>
      </c>
      <c r="CN20" s="18">
        <v>-5606500</v>
      </c>
      <c r="CO20" s="18">
        <v>-15846100</v>
      </c>
      <c r="CP20" s="18">
        <v>-6587850</v>
      </c>
      <c r="CQ20" s="18">
        <v>-13620250</v>
      </c>
      <c r="CR20" s="18">
        <v>-7710400</v>
      </c>
      <c r="CS20" s="18">
        <v>-8673850</v>
      </c>
      <c r="CT20" s="18">
        <v>-9288900</v>
      </c>
      <c r="CU20" s="18">
        <v>-8091950</v>
      </c>
      <c r="CV20" s="18">
        <v>-6330400</v>
      </c>
      <c r="CW20" s="18">
        <v>-7386100</v>
      </c>
      <c r="CX20" s="18">
        <v>-4506300</v>
      </c>
      <c r="CY20" s="18">
        <v>-11399750</v>
      </c>
      <c r="CZ20" s="18">
        <v>-11170800</v>
      </c>
      <c r="DA20" s="18">
        <v>-11280450</v>
      </c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22">
        <f>AVERAGE(DA20:DL20)</f>
        <v>-11280450</v>
      </c>
      <c r="DN20" s="18">
        <f>SUM(DA20:DL20)</f>
        <v>-11280450</v>
      </c>
      <c r="DO20" s="18">
        <f>AVERAGE(CO20:CZ20)</f>
        <v>-9217720.833333334</v>
      </c>
      <c r="DP20" s="18">
        <f>SUM(CO20:CZ20)</f>
        <v>-110612650</v>
      </c>
      <c r="DQ20" s="18">
        <v>-7840358.333333333</v>
      </c>
      <c r="DR20" s="18">
        <v>-94084300</v>
      </c>
      <c r="DS20" s="22">
        <v>-8516841.666666666</v>
      </c>
      <c r="DT20" s="23">
        <v>-102202100</v>
      </c>
      <c r="DU20" s="23">
        <v>10711883.333333334</v>
      </c>
      <c r="DV20" s="23">
        <v>128542600</v>
      </c>
    </row>
    <row r="21" spans="1:126">
      <c r="A21" s="14" t="s">
        <v>185</v>
      </c>
      <c r="B21" s="18">
        <v>-7029010</v>
      </c>
      <c r="C21" s="18">
        <v>-3585000</v>
      </c>
      <c r="D21" s="18">
        <v>-4901920</v>
      </c>
      <c r="E21" s="18">
        <v>-5025260</v>
      </c>
      <c r="F21" s="18">
        <v>-7711800</v>
      </c>
      <c r="G21" s="18">
        <v>-8458410</v>
      </c>
      <c r="H21" s="18">
        <v>-9264310</v>
      </c>
      <c r="I21" s="18">
        <v>-10629820</v>
      </c>
      <c r="J21" s="18">
        <v>-5572920</v>
      </c>
      <c r="K21" s="18">
        <v>-3774020</v>
      </c>
      <c r="L21" s="18">
        <f>L18-L20</f>
        <v>-3315910</v>
      </c>
      <c r="M21" s="18">
        <f>M18-M20</f>
        <v>-7938980</v>
      </c>
      <c r="N21" s="18">
        <v>-1084900</v>
      </c>
      <c r="O21" s="18">
        <v>-1635950</v>
      </c>
      <c r="P21" s="18">
        <v>-7993050</v>
      </c>
      <c r="Q21" s="18">
        <v>-6782210</v>
      </c>
      <c r="R21" s="18">
        <v>-7081150</v>
      </c>
      <c r="S21" s="18">
        <v>-5491900</v>
      </c>
      <c r="T21" s="18">
        <v>-5335650</v>
      </c>
      <c r="U21" s="18">
        <v>-2843770</v>
      </c>
      <c r="V21" s="18">
        <v>-8492500</v>
      </c>
      <c r="W21" s="18">
        <v>-1787800</v>
      </c>
      <c r="X21" s="18">
        <v>-5417850</v>
      </c>
      <c r="Y21" s="18">
        <v>-2423350</v>
      </c>
      <c r="Z21" s="18">
        <v>-1941500</v>
      </c>
      <c r="AA21" s="18">
        <v>702800</v>
      </c>
      <c r="AB21" s="18">
        <f>AB18-AB20</f>
        <v>-5722800</v>
      </c>
      <c r="AC21" s="18">
        <f>AC18-AC20</f>
        <v>-8301750</v>
      </c>
      <c r="AD21" s="18">
        <f>AD18-AD20</f>
        <v>2945430</v>
      </c>
      <c r="AE21" s="18">
        <v>-6857600</v>
      </c>
      <c r="AF21" s="18">
        <f>AF18-AF20</f>
        <v>-12230650</v>
      </c>
      <c r="AG21" s="18">
        <v>-11864900</v>
      </c>
      <c r="AH21" s="18">
        <v>-5228950</v>
      </c>
      <c r="AI21" s="18">
        <v>-5635900</v>
      </c>
      <c r="AJ21" s="18">
        <v>-2469550</v>
      </c>
      <c r="AK21" s="18">
        <v>-3779850</v>
      </c>
      <c r="AL21" s="18">
        <v>-9234450</v>
      </c>
      <c r="AM21" s="18">
        <f>AM18-AM20</f>
        <v>455600</v>
      </c>
      <c r="AN21" s="18">
        <v>-6437700</v>
      </c>
      <c r="AO21" s="18">
        <v>-7271800</v>
      </c>
      <c r="AP21" s="18">
        <v>-812150</v>
      </c>
      <c r="AQ21" s="18">
        <v>-18271450</v>
      </c>
      <c r="AR21" s="18">
        <v>-19247200</v>
      </c>
      <c r="AS21" s="18">
        <v>-411600</v>
      </c>
      <c r="AT21" s="18">
        <v>-6276700</v>
      </c>
      <c r="AU21" s="18">
        <v>-9383300</v>
      </c>
      <c r="AV21" s="18">
        <v>-3941050</v>
      </c>
      <c r="AW21" s="18">
        <v>-5334500</v>
      </c>
      <c r="AX21" s="18">
        <v>-9348200</v>
      </c>
      <c r="AY21" s="18">
        <v>-3110700</v>
      </c>
      <c r="AZ21" s="18">
        <v>-4483200</v>
      </c>
      <c r="BA21" s="18">
        <v>-11141500</v>
      </c>
      <c r="BB21" s="18">
        <v>-3208900</v>
      </c>
      <c r="BC21" s="18">
        <v>-5250700</v>
      </c>
      <c r="BD21" s="18">
        <v>-10466250</v>
      </c>
      <c r="BE21" s="18">
        <f>BE18-BE20</f>
        <v>-7790100</v>
      </c>
      <c r="BF21" s="19">
        <v>-7708550</v>
      </c>
      <c r="BG21" s="19">
        <v>-12587950</v>
      </c>
      <c r="BH21" s="19">
        <v>-40025650</v>
      </c>
      <c r="BI21" s="19">
        <v>-27588850</v>
      </c>
      <c r="BJ21" s="19">
        <v>-20510700</v>
      </c>
      <c r="BK21" s="18">
        <v>-9584250</v>
      </c>
      <c r="BL21" s="18">
        <v>-5357850</v>
      </c>
      <c r="BM21" s="18">
        <v>-11807800</v>
      </c>
      <c r="BN21" s="18">
        <v>-2190000</v>
      </c>
      <c r="BO21" s="18">
        <v>-21269450</v>
      </c>
      <c r="BP21" s="18">
        <v>-14981150</v>
      </c>
      <c r="BQ21" s="20">
        <f t="shared" ref="BQ21:CA21" si="0">BQ18-BQ20</f>
        <v>-8772700</v>
      </c>
      <c r="BR21" s="20">
        <f t="shared" si="0"/>
        <v>-5250700</v>
      </c>
      <c r="BS21" s="20">
        <f t="shared" si="0"/>
        <v>-12984700</v>
      </c>
      <c r="BT21" s="20">
        <f t="shared" si="0"/>
        <v>-7186550</v>
      </c>
      <c r="BU21" s="20">
        <f t="shared" si="0"/>
        <v>-16157300</v>
      </c>
      <c r="BV21" s="20">
        <f t="shared" si="0"/>
        <v>-4112350</v>
      </c>
      <c r="BW21" s="20">
        <f t="shared" si="0"/>
        <v>-4401900</v>
      </c>
      <c r="BX21" s="20">
        <f t="shared" si="0"/>
        <v>-9100500</v>
      </c>
      <c r="BY21" s="20">
        <f t="shared" si="0"/>
        <v>-9893000</v>
      </c>
      <c r="BZ21" s="20">
        <f t="shared" si="0"/>
        <v>18217300</v>
      </c>
      <c r="CA21" s="20">
        <f t="shared" si="0"/>
        <v>-5696700</v>
      </c>
      <c r="CB21" s="20">
        <v>-3497300</v>
      </c>
      <c r="CC21" s="20">
        <f>CC18+CC20</f>
        <v>-2017150</v>
      </c>
      <c r="CD21" s="20">
        <f>CD18+CD20</f>
        <v>5966950</v>
      </c>
      <c r="CE21" s="20">
        <f t="shared" ref="CE21:DL21" si="1">CE18+CE20</f>
        <v>11894900</v>
      </c>
      <c r="CF21" s="20">
        <f t="shared" si="1"/>
        <v>277800</v>
      </c>
      <c r="CG21" s="20">
        <f t="shared" si="1"/>
        <v>3452800</v>
      </c>
      <c r="CH21" s="20">
        <f t="shared" si="1"/>
        <v>1652650</v>
      </c>
      <c r="CI21" s="20">
        <f t="shared" si="1"/>
        <v>1443750</v>
      </c>
      <c r="CJ21" s="20">
        <f t="shared" si="1"/>
        <v>6446200</v>
      </c>
      <c r="CK21" s="20">
        <f t="shared" si="1"/>
        <v>-3096100</v>
      </c>
      <c r="CL21" s="20">
        <f t="shared" si="1"/>
        <v>2379150</v>
      </c>
      <c r="CM21" s="20">
        <f t="shared" si="1"/>
        <v>477000</v>
      </c>
      <c r="CN21" s="20">
        <f t="shared" si="1"/>
        <v>-517950</v>
      </c>
      <c r="CO21" s="20">
        <f t="shared" ref="CO21:CZ21" si="2">CO18+CO20</f>
        <v>-2822250</v>
      </c>
      <c r="CP21" s="20">
        <f t="shared" si="2"/>
        <v>1859450</v>
      </c>
      <c r="CQ21" s="20">
        <f t="shared" si="2"/>
        <v>-10256750</v>
      </c>
      <c r="CR21" s="20">
        <f t="shared" si="2"/>
        <v>1826950</v>
      </c>
      <c r="CS21" s="20">
        <f t="shared" si="2"/>
        <v>-1219650</v>
      </c>
      <c r="CT21" s="20">
        <f t="shared" si="2"/>
        <v>-336300</v>
      </c>
      <c r="CU21" s="20">
        <f t="shared" si="2"/>
        <v>186250</v>
      </c>
      <c r="CV21" s="20">
        <f t="shared" si="2"/>
        <v>-4726200</v>
      </c>
      <c r="CW21" s="20">
        <f t="shared" si="2"/>
        <v>3208700</v>
      </c>
      <c r="CX21" s="20">
        <f t="shared" si="2"/>
        <v>3509700</v>
      </c>
      <c r="CY21" s="20">
        <f t="shared" si="2"/>
        <v>6648490</v>
      </c>
      <c r="CZ21" s="20">
        <f t="shared" si="2"/>
        <v>1633120</v>
      </c>
      <c r="DA21" s="20">
        <f t="shared" si="1"/>
        <v>-3142900</v>
      </c>
      <c r="DB21" s="20">
        <f t="shared" si="1"/>
        <v>0</v>
      </c>
      <c r="DC21" s="20">
        <f t="shared" si="1"/>
        <v>0</v>
      </c>
      <c r="DD21" s="20">
        <f t="shared" si="1"/>
        <v>0</v>
      </c>
      <c r="DE21" s="20">
        <f t="shared" si="1"/>
        <v>0</v>
      </c>
      <c r="DF21" s="20">
        <f t="shared" si="1"/>
        <v>0</v>
      </c>
      <c r="DG21" s="20">
        <f t="shared" si="1"/>
        <v>0</v>
      </c>
      <c r="DH21" s="20">
        <f t="shared" si="1"/>
        <v>0</v>
      </c>
      <c r="DI21" s="20">
        <f t="shared" si="1"/>
        <v>0</v>
      </c>
      <c r="DJ21" s="20">
        <f t="shared" si="1"/>
        <v>0</v>
      </c>
      <c r="DK21" s="20">
        <f t="shared" si="1"/>
        <v>0</v>
      </c>
      <c r="DL21" s="20">
        <f t="shared" si="1"/>
        <v>0</v>
      </c>
      <c r="DM21" s="18">
        <f>DM18+DM20</f>
        <v>-3142900</v>
      </c>
      <c r="DN21" s="18">
        <f>DN18+DN20</f>
        <v>-3142900</v>
      </c>
      <c r="DO21" s="22">
        <f>AVERAGE(CO21:CZ21)</f>
        <v>-40707.5</v>
      </c>
      <c r="DP21" s="22">
        <f>SUM(CO21:CZ21)</f>
        <v>-488490</v>
      </c>
      <c r="DQ21" s="18">
        <v>3412908.3333333335</v>
      </c>
      <c r="DR21" s="18">
        <v>40954900</v>
      </c>
      <c r="DS21" s="22">
        <v>2363333.3333333335</v>
      </c>
      <c r="DT21" s="23">
        <v>28360000</v>
      </c>
      <c r="DU21" s="23">
        <v>-5736366.666666667</v>
      </c>
      <c r="DV21" s="23">
        <v>-68836400</v>
      </c>
    </row>
    <row r="22" spans="1:126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5"/>
      <c r="BG22" s="25"/>
      <c r="BH22" s="25"/>
      <c r="BI22" s="25"/>
      <c r="BJ22" s="25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/>
    </row>
    <row r="23" spans="1:126">
      <c r="A23" s="14" t="s">
        <v>186</v>
      </c>
      <c r="B23" s="14" t="s">
        <v>73</v>
      </c>
      <c r="C23" s="14" t="s">
        <v>74</v>
      </c>
      <c r="D23" s="14" t="s">
        <v>75</v>
      </c>
      <c r="E23" s="14" t="s">
        <v>76</v>
      </c>
      <c r="F23" s="14" t="s">
        <v>77</v>
      </c>
      <c r="G23" s="14" t="s">
        <v>78</v>
      </c>
      <c r="H23" s="14" t="s">
        <v>79</v>
      </c>
      <c r="I23" s="14" t="s">
        <v>80</v>
      </c>
      <c r="J23" s="14" t="s">
        <v>81</v>
      </c>
      <c r="K23" s="14" t="s">
        <v>82</v>
      </c>
      <c r="L23" s="14" t="s">
        <v>83</v>
      </c>
      <c r="M23" s="14" t="s">
        <v>84</v>
      </c>
      <c r="N23" s="14" t="s">
        <v>85</v>
      </c>
      <c r="O23" s="14" t="s">
        <v>86</v>
      </c>
      <c r="P23" s="14" t="s">
        <v>87</v>
      </c>
      <c r="Q23" s="14" t="s">
        <v>88</v>
      </c>
      <c r="R23" s="14" t="s">
        <v>89</v>
      </c>
      <c r="S23" s="14" t="s">
        <v>90</v>
      </c>
      <c r="T23" s="14" t="s">
        <v>91</v>
      </c>
      <c r="U23" s="14" t="s">
        <v>92</v>
      </c>
      <c r="V23" s="14" t="s">
        <v>93</v>
      </c>
      <c r="W23" s="14" t="s">
        <v>94</v>
      </c>
      <c r="X23" s="14" t="s">
        <v>95</v>
      </c>
      <c r="Y23" s="14" t="s">
        <v>96</v>
      </c>
      <c r="Z23" s="14" t="s">
        <v>187</v>
      </c>
      <c r="AA23" s="14" t="s">
        <v>188</v>
      </c>
      <c r="AB23" s="14" t="s">
        <v>189</v>
      </c>
      <c r="AC23" s="14" t="s">
        <v>190</v>
      </c>
      <c r="AD23" s="14" t="s">
        <v>191</v>
      </c>
      <c r="AE23" s="14" t="s">
        <v>192</v>
      </c>
      <c r="AF23" s="15" t="s">
        <v>193</v>
      </c>
      <c r="AG23" s="15" t="s">
        <v>194</v>
      </c>
      <c r="AH23" s="15" t="s">
        <v>195</v>
      </c>
      <c r="AI23" s="15" t="s">
        <v>196</v>
      </c>
      <c r="AJ23" s="15" t="s">
        <v>197</v>
      </c>
      <c r="AK23" s="15" t="s">
        <v>198</v>
      </c>
      <c r="AL23" s="15" t="s">
        <v>199</v>
      </c>
      <c r="AM23" s="15" t="s">
        <v>200</v>
      </c>
      <c r="AN23" s="15" t="s">
        <v>201</v>
      </c>
      <c r="AO23" s="15" t="s">
        <v>202</v>
      </c>
      <c r="AP23" s="15" t="s">
        <v>203</v>
      </c>
      <c r="AQ23" s="15" t="s">
        <v>204</v>
      </c>
      <c r="AR23" s="15" t="s">
        <v>115</v>
      </c>
      <c r="AS23" s="15" t="s">
        <v>205</v>
      </c>
      <c r="AT23" s="15" t="s">
        <v>206</v>
      </c>
      <c r="AU23" s="15" t="s">
        <v>118</v>
      </c>
      <c r="AV23" s="15" t="s">
        <v>207</v>
      </c>
      <c r="AW23" s="15" t="s">
        <v>208</v>
      </c>
      <c r="AX23" s="15" t="s">
        <v>121</v>
      </c>
      <c r="AY23" s="15" t="s">
        <v>122</v>
      </c>
      <c r="AZ23" s="15" t="s">
        <v>123</v>
      </c>
      <c r="BA23" s="15" t="s">
        <v>124</v>
      </c>
      <c r="BB23" s="15" t="s">
        <v>125</v>
      </c>
      <c r="BC23" s="15" t="s">
        <v>126</v>
      </c>
      <c r="BD23" s="15" t="s">
        <v>127</v>
      </c>
      <c r="BE23" s="15" t="s">
        <v>209</v>
      </c>
      <c r="BF23" s="16" t="str">
        <f t="shared" ref="BF23:CL23" si="3">BF16</f>
        <v>'21.2월</v>
      </c>
      <c r="BG23" s="16" t="str">
        <f t="shared" si="3"/>
        <v>'21.3월</v>
      </c>
      <c r="BH23" s="16" t="str">
        <f t="shared" si="3"/>
        <v>'21.4월</v>
      </c>
      <c r="BI23" s="16" t="str">
        <f t="shared" si="3"/>
        <v>'21.5월</v>
      </c>
      <c r="BJ23" s="16" t="str">
        <f t="shared" si="3"/>
        <v>'21.6월</v>
      </c>
      <c r="BK23" s="15" t="str">
        <f t="shared" si="3"/>
        <v>'21.7월</v>
      </c>
      <c r="BL23" s="15" t="str">
        <f t="shared" si="3"/>
        <v>'21.8월</v>
      </c>
      <c r="BM23" s="15" t="str">
        <f t="shared" si="3"/>
        <v>'21.9월</v>
      </c>
      <c r="BN23" s="15" t="str">
        <f t="shared" si="3"/>
        <v>'21.10월</v>
      </c>
      <c r="BO23" s="15" t="str">
        <f t="shared" si="3"/>
        <v>'21.11월</v>
      </c>
      <c r="BP23" s="15" t="str">
        <f t="shared" si="3"/>
        <v>'21.12월</v>
      </c>
      <c r="BQ23" s="15" t="str">
        <f t="shared" si="3"/>
        <v>'22.1월</v>
      </c>
      <c r="BR23" s="15" t="str">
        <f t="shared" si="3"/>
        <v>'22.2월</v>
      </c>
      <c r="BS23" s="15" t="str">
        <f t="shared" si="3"/>
        <v>'22.3월</v>
      </c>
      <c r="BT23" s="15" t="str">
        <f t="shared" si="3"/>
        <v>'22.4월</v>
      </c>
      <c r="BU23" s="15" t="str">
        <f t="shared" si="3"/>
        <v>'22.5월</v>
      </c>
      <c r="BV23" s="15" t="str">
        <f t="shared" si="3"/>
        <v>'22.6월</v>
      </c>
      <c r="BW23" s="15" t="str">
        <f t="shared" si="3"/>
        <v>'22.7월</v>
      </c>
      <c r="BX23" s="15" t="str">
        <f t="shared" si="3"/>
        <v>'22.8월</v>
      </c>
      <c r="BY23" s="15" t="str">
        <f t="shared" si="3"/>
        <v>'22.9월</v>
      </c>
      <c r="BZ23" s="15" t="str">
        <f t="shared" si="3"/>
        <v>'22.10월</v>
      </c>
      <c r="CA23" s="15" t="str">
        <f t="shared" si="3"/>
        <v>'22.11월</v>
      </c>
      <c r="CB23" s="15" t="str">
        <f t="shared" si="3"/>
        <v>'22.12월</v>
      </c>
      <c r="CC23" s="15" t="str">
        <f t="shared" si="3"/>
        <v>'23.1월</v>
      </c>
      <c r="CD23" s="15" t="str">
        <f t="shared" si="3"/>
        <v>'23.2월</v>
      </c>
      <c r="CE23" s="15" t="str">
        <f t="shared" si="3"/>
        <v>'23.3월</v>
      </c>
      <c r="CF23" s="15" t="str">
        <f t="shared" si="3"/>
        <v>'23.4월</v>
      </c>
      <c r="CG23" s="15" t="str">
        <f t="shared" si="3"/>
        <v>'23.5월</v>
      </c>
      <c r="CH23" s="15" t="str">
        <f t="shared" si="3"/>
        <v>'23.6월</v>
      </c>
      <c r="CI23" s="15" t="str">
        <f t="shared" si="3"/>
        <v>'23.7월</v>
      </c>
      <c r="CJ23" s="15" t="str">
        <f t="shared" si="3"/>
        <v>'23.8월</v>
      </c>
      <c r="CK23" s="15" t="str">
        <f t="shared" si="3"/>
        <v>'23.9월</v>
      </c>
      <c r="CL23" s="15" t="str">
        <f t="shared" si="3"/>
        <v>'23.10월</v>
      </c>
      <c r="CM23" s="15" t="s">
        <v>162</v>
      </c>
      <c r="CN23" s="15" t="s">
        <v>163</v>
      </c>
      <c r="CO23" s="15" t="s">
        <v>164</v>
      </c>
      <c r="CP23" s="15" t="s">
        <v>165</v>
      </c>
      <c r="CQ23" s="15" t="s">
        <v>166</v>
      </c>
      <c r="CR23" s="15" t="s">
        <v>167</v>
      </c>
      <c r="CS23" s="15" t="s">
        <v>168</v>
      </c>
      <c r="CT23" s="15" t="s">
        <v>169</v>
      </c>
      <c r="CU23" s="15" t="s">
        <v>170</v>
      </c>
      <c r="CV23" s="15" t="s">
        <v>171</v>
      </c>
      <c r="CW23" s="15" t="s">
        <v>172</v>
      </c>
      <c r="CX23" s="15" t="s">
        <v>173</v>
      </c>
      <c r="CY23" s="15" t="s">
        <v>174</v>
      </c>
      <c r="CZ23" s="15" t="s">
        <v>175</v>
      </c>
      <c r="DA23" s="15" t="s">
        <v>218</v>
      </c>
      <c r="DB23" s="15" t="s">
        <v>219</v>
      </c>
      <c r="DC23" s="15" t="s">
        <v>220</v>
      </c>
      <c r="DD23" s="15" t="s">
        <v>221</v>
      </c>
      <c r="DE23" s="15" t="s">
        <v>222</v>
      </c>
      <c r="DF23" s="15" t="s">
        <v>223</v>
      </c>
      <c r="DG23" s="15" t="s">
        <v>224</v>
      </c>
      <c r="DH23" s="15" t="s">
        <v>225</v>
      </c>
      <c r="DI23" s="15" t="s">
        <v>226</v>
      </c>
      <c r="DJ23" s="15" t="s">
        <v>227</v>
      </c>
      <c r="DK23" s="15" t="s">
        <v>228</v>
      </c>
      <c r="DL23" s="15" t="s">
        <v>229</v>
      </c>
      <c r="DM23" s="17" t="s">
        <v>216</v>
      </c>
      <c r="DN23" s="17" t="s">
        <v>217</v>
      </c>
      <c r="DO23" s="15" t="s">
        <v>176</v>
      </c>
      <c r="DP23" s="15" t="s">
        <v>177</v>
      </c>
      <c r="DQ23" s="15" t="s">
        <v>178</v>
      </c>
      <c r="DR23" s="15" t="s">
        <v>179</v>
      </c>
      <c r="DS23" s="15" t="s">
        <v>180</v>
      </c>
      <c r="DT23" s="15" t="s">
        <v>181</v>
      </c>
      <c r="DU23" s="15" t="s">
        <v>182</v>
      </c>
      <c r="DV23" s="15" t="s">
        <v>183</v>
      </c>
    </row>
    <row r="24" spans="1:126">
      <c r="A24" s="26" t="s">
        <v>210</v>
      </c>
      <c r="B24" s="27">
        <v>105100</v>
      </c>
      <c r="C24" s="27">
        <v>59030</v>
      </c>
      <c r="D24" s="27">
        <v>30040</v>
      </c>
      <c r="E24" s="27">
        <v>114760</v>
      </c>
      <c r="F24" s="27">
        <v>81730</v>
      </c>
      <c r="G24" s="27">
        <v>82900</v>
      </c>
      <c r="H24" s="27">
        <v>50240</v>
      </c>
      <c r="I24" s="27">
        <v>93031</v>
      </c>
      <c r="J24" s="27">
        <v>29250</v>
      </c>
      <c r="K24" s="27">
        <v>73880</v>
      </c>
      <c r="L24" s="27">
        <v>57900</v>
      </c>
      <c r="M24" s="27">
        <v>62920</v>
      </c>
      <c r="N24" s="27">
        <v>79092</v>
      </c>
      <c r="O24" s="27">
        <v>76900</v>
      </c>
      <c r="P24" s="27">
        <v>89010</v>
      </c>
      <c r="Q24" s="27">
        <v>126272</v>
      </c>
      <c r="R24" s="27">
        <v>69280</v>
      </c>
      <c r="S24" s="28">
        <f t="shared" ref="S24:V28" si="4">S17/1000000</f>
        <v>9.5750000000000002E-2</v>
      </c>
      <c r="T24" s="28">
        <f t="shared" si="4"/>
        <v>6.1449999999999998E-2</v>
      </c>
      <c r="U24" s="28">
        <f t="shared" si="4"/>
        <v>0.12188400000000001</v>
      </c>
      <c r="V24" s="28">
        <f t="shared" si="4"/>
        <v>6.6619999999999999E-2</v>
      </c>
      <c r="W24" s="28">
        <f>W17/1000</f>
        <v>128.55000000000001</v>
      </c>
      <c r="X24" s="28">
        <f t="shared" ref="X24:CH24" si="5">X17/1000</f>
        <v>69.95</v>
      </c>
      <c r="Y24" s="28">
        <f t="shared" si="5"/>
        <v>104.79</v>
      </c>
      <c r="Z24" s="28">
        <f t="shared" si="5"/>
        <v>116.86</v>
      </c>
      <c r="AA24" s="28">
        <f t="shared" si="5"/>
        <v>100</v>
      </c>
      <c r="AB24" s="28">
        <f t="shared" si="5"/>
        <v>96.325000000000003</v>
      </c>
      <c r="AC24" s="28">
        <f t="shared" si="5"/>
        <v>55.68</v>
      </c>
      <c r="AD24" s="28">
        <f t="shared" si="5"/>
        <v>141.47399999999999</v>
      </c>
      <c r="AE24" s="28">
        <f t="shared" si="5"/>
        <v>112.06</v>
      </c>
      <c r="AF24" s="28">
        <f t="shared" si="5"/>
        <v>98.16</v>
      </c>
      <c r="AG24" s="28">
        <f t="shared" si="5"/>
        <v>98.95</v>
      </c>
      <c r="AH24" s="28">
        <v>77.290000000000006</v>
      </c>
      <c r="AI24" s="28">
        <f>AI17/1000</f>
        <v>53.31</v>
      </c>
      <c r="AJ24" s="28">
        <f>AJ17/1000</f>
        <v>138.12</v>
      </c>
      <c r="AK24" s="28">
        <f>AK17/1000</f>
        <v>80.72</v>
      </c>
      <c r="AL24" s="28">
        <v>65.67</v>
      </c>
      <c r="AM24" s="28">
        <f>AM17/1000</f>
        <v>116.83</v>
      </c>
      <c r="AN24" s="28">
        <v>72.13</v>
      </c>
      <c r="AO24" s="28">
        <f>AO17/1000</f>
        <v>117.35</v>
      </c>
      <c r="AP24" s="28">
        <f>AP17/1000</f>
        <v>90.08</v>
      </c>
      <c r="AQ24" s="28">
        <f>AQ17/1000</f>
        <v>126.12</v>
      </c>
      <c r="AR24" s="28">
        <f t="shared" si="5"/>
        <v>77.7</v>
      </c>
      <c r="AS24" s="28">
        <f t="shared" si="5"/>
        <v>81.95</v>
      </c>
      <c r="AT24" s="28">
        <f t="shared" si="5"/>
        <v>80.760000000000005</v>
      </c>
      <c r="AU24" s="28">
        <f t="shared" si="5"/>
        <v>88.14</v>
      </c>
      <c r="AV24" s="28">
        <f t="shared" si="5"/>
        <v>95.27</v>
      </c>
      <c r="AW24" s="28">
        <f t="shared" si="5"/>
        <v>46.49</v>
      </c>
      <c r="AX24" s="28">
        <f t="shared" si="5"/>
        <v>90.6</v>
      </c>
      <c r="AY24" s="28">
        <v>77.39</v>
      </c>
      <c r="AZ24" s="28">
        <f>AZ17/1000</f>
        <v>56.73</v>
      </c>
      <c r="BA24" s="28">
        <f>BA17/1000</f>
        <v>90.93</v>
      </c>
      <c r="BB24" s="28">
        <f>BB17/1000</f>
        <v>123.28</v>
      </c>
      <c r="BC24" s="28">
        <f>BC17/1000</f>
        <v>99.85</v>
      </c>
      <c r="BD24" s="28">
        <f>BD17/1000</f>
        <v>110.94</v>
      </c>
      <c r="BE24" s="28">
        <f t="shared" si="5"/>
        <v>75.94</v>
      </c>
      <c r="BF24" s="28">
        <f t="shared" si="5"/>
        <v>56.64</v>
      </c>
      <c r="BG24" s="28">
        <f t="shared" si="5"/>
        <v>83.21</v>
      </c>
      <c r="BH24" s="28">
        <f t="shared" si="5"/>
        <v>122.82</v>
      </c>
      <c r="BI24" s="28">
        <f t="shared" si="5"/>
        <v>83.94</v>
      </c>
      <c r="BJ24" s="28">
        <f t="shared" si="5"/>
        <v>123.25</v>
      </c>
      <c r="BK24" s="28">
        <f t="shared" si="5"/>
        <v>93.49</v>
      </c>
      <c r="BL24" s="28">
        <f t="shared" si="5"/>
        <v>52.15</v>
      </c>
      <c r="BM24" s="28">
        <f t="shared" si="5"/>
        <v>51.7</v>
      </c>
      <c r="BN24" s="28">
        <f t="shared" si="5"/>
        <v>92.65</v>
      </c>
      <c r="BO24" s="28">
        <f t="shared" si="5"/>
        <v>55.01</v>
      </c>
      <c r="BP24" s="28">
        <f t="shared" si="5"/>
        <v>99.55</v>
      </c>
      <c r="BQ24" s="28">
        <f t="shared" si="5"/>
        <v>42.24</v>
      </c>
      <c r="BR24" s="28">
        <f t="shared" si="5"/>
        <v>105.89</v>
      </c>
      <c r="BS24" s="28">
        <f t="shared" si="5"/>
        <v>93.91</v>
      </c>
      <c r="BT24" s="28">
        <f t="shared" si="5"/>
        <v>81.39</v>
      </c>
      <c r="BU24" s="28">
        <f t="shared" si="5"/>
        <v>69.650000000000006</v>
      </c>
      <c r="BV24" s="28">
        <f t="shared" si="5"/>
        <v>42.5</v>
      </c>
      <c r="BW24" s="28">
        <f t="shared" si="5"/>
        <v>103.23</v>
      </c>
      <c r="BX24" s="28">
        <f t="shared" si="5"/>
        <v>104.17</v>
      </c>
      <c r="BY24" s="28">
        <f t="shared" si="5"/>
        <v>143.05000000000001</v>
      </c>
      <c r="BZ24" s="28">
        <f t="shared" si="5"/>
        <v>53.085300000000004</v>
      </c>
      <c r="CA24" s="28">
        <f t="shared" si="5"/>
        <v>107.652</v>
      </c>
      <c r="CB24" s="28">
        <f t="shared" si="5"/>
        <v>155.65299999999999</v>
      </c>
      <c r="CC24" s="28">
        <f t="shared" si="5"/>
        <v>49.53</v>
      </c>
      <c r="CD24" s="28">
        <f t="shared" si="5"/>
        <v>91.59</v>
      </c>
      <c r="CE24" s="28">
        <f t="shared" si="5"/>
        <v>173.86</v>
      </c>
      <c r="CF24" s="28">
        <f t="shared" si="5"/>
        <v>102.19</v>
      </c>
      <c r="CG24" s="28">
        <f t="shared" si="5"/>
        <v>119.29</v>
      </c>
      <c r="CH24" s="28">
        <f t="shared" si="5"/>
        <v>96.575999999999993</v>
      </c>
      <c r="CI24" s="28">
        <v>107</v>
      </c>
      <c r="CJ24" s="28">
        <f t="shared" ref="CJ24:DL24" si="6">CJ17/1000</f>
        <v>113.22</v>
      </c>
      <c r="CK24" s="28">
        <f t="shared" si="6"/>
        <v>116.39</v>
      </c>
      <c r="CL24" s="28">
        <f t="shared" si="6"/>
        <v>96.43</v>
      </c>
      <c r="CM24" s="28">
        <f t="shared" si="6"/>
        <v>113.64</v>
      </c>
      <c r="CN24" s="28">
        <f t="shared" si="6"/>
        <v>74.290000000000006</v>
      </c>
      <c r="CO24" s="28">
        <f t="shared" si="6"/>
        <v>128.13999999999999</v>
      </c>
      <c r="CP24" s="28">
        <f t="shared" si="6"/>
        <v>117.5</v>
      </c>
      <c r="CQ24" s="28">
        <f t="shared" si="6"/>
        <v>49.77</v>
      </c>
      <c r="CR24" s="28">
        <f t="shared" si="6"/>
        <v>131.6</v>
      </c>
      <c r="CS24" s="28">
        <f t="shared" si="6"/>
        <v>102.1</v>
      </c>
      <c r="CT24" s="28">
        <f t="shared" si="6"/>
        <v>106.78</v>
      </c>
      <c r="CU24" s="28">
        <f t="shared" si="6"/>
        <v>119.59</v>
      </c>
      <c r="CV24" s="28">
        <f t="shared" si="6"/>
        <v>30.87</v>
      </c>
      <c r="CW24" s="28">
        <f t="shared" si="6"/>
        <v>132.22999999999999</v>
      </c>
      <c r="CX24" s="28">
        <f t="shared" si="6"/>
        <v>101.33</v>
      </c>
      <c r="CY24" s="28">
        <f t="shared" si="6"/>
        <v>88.706999999999994</v>
      </c>
      <c r="CZ24" s="28">
        <f t="shared" si="6"/>
        <v>137.98400000000001</v>
      </c>
      <c r="DA24" s="28">
        <f t="shared" si="6"/>
        <v>107.05</v>
      </c>
      <c r="DB24" s="28">
        <f t="shared" si="6"/>
        <v>0</v>
      </c>
      <c r="DC24" s="28">
        <f t="shared" si="6"/>
        <v>0</v>
      </c>
      <c r="DD24" s="28">
        <f t="shared" si="6"/>
        <v>0</v>
      </c>
      <c r="DE24" s="28">
        <f t="shared" si="6"/>
        <v>0</v>
      </c>
      <c r="DF24" s="28">
        <f t="shared" si="6"/>
        <v>0</v>
      </c>
      <c r="DG24" s="28">
        <f t="shared" si="6"/>
        <v>0</v>
      </c>
      <c r="DH24" s="28">
        <f t="shared" si="6"/>
        <v>0</v>
      </c>
      <c r="DI24" s="28">
        <f t="shared" si="6"/>
        <v>0</v>
      </c>
      <c r="DJ24" s="28">
        <f t="shared" si="6"/>
        <v>0</v>
      </c>
      <c r="DK24" s="28">
        <f t="shared" si="6"/>
        <v>0</v>
      </c>
      <c r="DL24" s="28">
        <f t="shared" si="6"/>
        <v>0</v>
      </c>
      <c r="DM24" s="18">
        <f>AVERAGE(DA24:DL24)</f>
        <v>8.9208333333333325</v>
      </c>
      <c r="DN24" s="18">
        <f>SUM(DA24:DL24)</f>
        <v>107.05</v>
      </c>
      <c r="DO24" s="22">
        <f>AVERAGE(CO24:CZ24)</f>
        <v>103.88341666666668</v>
      </c>
      <c r="DP24" s="22">
        <f>SUM(CO24:CZ24)</f>
        <v>1246.6010000000001</v>
      </c>
      <c r="DQ24" s="29">
        <v>122.03541666666666</v>
      </c>
      <c r="DR24" s="29">
        <v>1464.425</v>
      </c>
      <c r="DS24" s="30">
        <v>104.5005</v>
      </c>
      <c r="DT24" s="31">
        <v>1254.0060000000001</v>
      </c>
      <c r="DU24" s="31">
        <v>91.868358333333333</v>
      </c>
      <c r="DV24" s="27">
        <v>1102.4203</v>
      </c>
    </row>
    <row r="25" spans="1:126">
      <c r="A25" s="32" t="s">
        <v>211</v>
      </c>
      <c r="B25" s="33">
        <v>5307100</v>
      </c>
      <c r="C25" s="33">
        <v>2825700</v>
      </c>
      <c r="D25" s="33">
        <v>939200</v>
      </c>
      <c r="E25" s="33">
        <v>5534900</v>
      </c>
      <c r="F25" s="33">
        <v>3555100</v>
      </c>
      <c r="G25" s="33">
        <v>3301100</v>
      </c>
      <c r="H25" s="33">
        <v>2495200</v>
      </c>
      <c r="I25" s="33">
        <v>3184920</v>
      </c>
      <c r="J25" s="33">
        <v>1547900</v>
      </c>
      <c r="K25" s="33">
        <v>3010600</v>
      </c>
      <c r="L25" s="33">
        <v>2561400</v>
      </c>
      <c r="M25" s="33">
        <v>2205600</v>
      </c>
      <c r="N25" s="33">
        <v>2833440</v>
      </c>
      <c r="O25" s="33">
        <v>3154800</v>
      </c>
      <c r="P25" s="33">
        <v>3939500</v>
      </c>
      <c r="Q25" s="33">
        <v>5128040</v>
      </c>
      <c r="R25" s="33">
        <v>2517300</v>
      </c>
      <c r="S25" s="34">
        <f t="shared" si="4"/>
        <v>3.9068000000000001</v>
      </c>
      <c r="T25" s="34">
        <f t="shared" si="4"/>
        <v>2.387</v>
      </c>
      <c r="U25" s="34">
        <f t="shared" si="4"/>
        <v>4.9327800000000002</v>
      </c>
      <c r="V25" s="34">
        <f t="shared" si="4"/>
        <v>2.6829000000000001</v>
      </c>
      <c r="W25" s="34">
        <f t="shared" ref="W25:AG25" si="7">W18/1000000</f>
        <v>7.0180999999999996</v>
      </c>
      <c r="X25" s="34">
        <f t="shared" si="7"/>
        <v>3.0939999999999999</v>
      </c>
      <c r="Y25" s="34">
        <f t="shared" si="7"/>
        <v>5.6885000000000003</v>
      </c>
      <c r="Z25" s="34">
        <f t="shared" si="7"/>
        <v>6.4222999999999999</v>
      </c>
      <c r="AA25" s="34">
        <f t="shared" si="7"/>
        <v>4.6295999999999999</v>
      </c>
      <c r="AB25" s="34">
        <f t="shared" si="7"/>
        <v>5.3632999999999997</v>
      </c>
      <c r="AC25" s="34">
        <f t="shared" si="7"/>
        <v>2.7204000000000002</v>
      </c>
      <c r="AD25" s="34">
        <f t="shared" si="7"/>
        <v>7.6133800000000003</v>
      </c>
      <c r="AE25" s="34">
        <f t="shared" si="7"/>
        <v>4.9074999999999998</v>
      </c>
      <c r="AF25" s="34">
        <f t="shared" si="7"/>
        <v>5.46</v>
      </c>
      <c r="AG25" s="34">
        <f t="shared" si="7"/>
        <v>5.5153999999999996</v>
      </c>
      <c r="AH25" s="34">
        <v>3.6244999999999998</v>
      </c>
      <c r="AI25" s="34">
        <f>AI18/1000000</f>
        <v>3.6996000000000002</v>
      </c>
      <c r="AJ25" s="34">
        <f>AJ18/1000000</f>
        <v>10.170199999999999</v>
      </c>
      <c r="AK25" s="34">
        <f>AK18/1000000</f>
        <v>4.1241000000000003</v>
      </c>
      <c r="AL25" s="34">
        <v>4.3371000000000004</v>
      </c>
      <c r="AM25" s="34">
        <f>AM18/1000000</f>
        <v>8.4661000000000008</v>
      </c>
      <c r="AN25" s="34">
        <v>6.1364999999999998</v>
      </c>
      <c r="AO25" s="34">
        <f>AO18/1000000</f>
        <v>8.3923000000000005</v>
      </c>
      <c r="AP25" s="34">
        <f>AP18/1000000</f>
        <v>7.5266999999999999</v>
      </c>
      <c r="AQ25" s="34">
        <f>AQ18/1000000</f>
        <v>8.5184999999999995</v>
      </c>
      <c r="AR25" s="34">
        <f t="shared" ref="AR25:BJ25" si="8">AR18/1000000</f>
        <v>6.2808999999999999</v>
      </c>
      <c r="AS25" s="34">
        <f t="shared" si="8"/>
        <v>5.1264000000000003</v>
      </c>
      <c r="AT25" s="34">
        <f t="shared" si="8"/>
        <v>5.4851999999999999</v>
      </c>
      <c r="AU25" s="34">
        <f t="shared" si="8"/>
        <v>5.9554</v>
      </c>
      <c r="AV25" s="34">
        <f t="shared" si="8"/>
        <v>6.1162999999999998</v>
      </c>
      <c r="AW25" s="34">
        <f t="shared" si="8"/>
        <v>3.8435999999999999</v>
      </c>
      <c r="AX25" s="34">
        <f t="shared" si="8"/>
        <v>5.7091000000000003</v>
      </c>
      <c r="AY25" s="34">
        <v>4.8064999999999998</v>
      </c>
      <c r="AZ25" s="34">
        <f>AZ18/1000000</f>
        <v>3.3605</v>
      </c>
      <c r="BA25" s="34">
        <f>BA18/1000000</f>
        <v>6.8891</v>
      </c>
      <c r="BB25" s="34">
        <f>BB18/1000000</f>
        <v>7.8684000000000003</v>
      </c>
      <c r="BC25" s="34">
        <f>BC18/1000000</f>
        <v>6.1745999999999999</v>
      </c>
      <c r="BD25" s="34">
        <f>BD18/1000000</f>
        <v>7.1539000000000001</v>
      </c>
      <c r="BE25" s="34">
        <f t="shared" si="8"/>
        <v>2.5838999999999999</v>
      </c>
      <c r="BF25" s="34">
        <f t="shared" si="8"/>
        <v>2.1425000000000001</v>
      </c>
      <c r="BG25" s="34">
        <f t="shared" si="8"/>
        <v>2.7711000000000001</v>
      </c>
      <c r="BH25" s="34">
        <f t="shared" si="8"/>
        <v>4.0778999999999996</v>
      </c>
      <c r="BI25" s="34">
        <f t="shared" si="8"/>
        <v>2.766</v>
      </c>
      <c r="BJ25" s="34">
        <f t="shared" si="8"/>
        <v>3.5642999999999998</v>
      </c>
      <c r="BK25" s="34">
        <f>BK18/1000000</f>
        <v>3.3664999999999998</v>
      </c>
      <c r="BL25" s="34">
        <f>BL18/1000000</f>
        <v>2.0550000000000002</v>
      </c>
      <c r="BM25" s="34">
        <f>BM18/1000000</f>
        <v>1.9266000000000001</v>
      </c>
      <c r="BN25" s="34">
        <f>BN18/1000000</f>
        <v>2.9098000000000002</v>
      </c>
      <c r="BO25" s="34">
        <v>4.8064999999999998</v>
      </c>
      <c r="BP25" s="34">
        <v>4.8064999999999998</v>
      </c>
      <c r="BQ25" s="34">
        <f>BQ18/1000000</f>
        <v>1.8848</v>
      </c>
      <c r="BR25" s="34">
        <f>BR18/1000000</f>
        <v>1.7774000000000001</v>
      </c>
      <c r="BS25" s="34">
        <f>BS18/1000000</f>
        <v>1.9353</v>
      </c>
      <c r="BT25" s="34">
        <f>BT18/1000000</f>
        <v>1.1509</v>
      </c>
      <c r="BU25" s="34">
        <f>BU18/1000000</f>
        <v>1.5547</v>
      </c>
      <c r="BV25" s="34">
        <f t="shared" ref="BV25:DL25" si="9">BV18/1000000</f>
        <v>1.8831</v>
      </c>
      <c r="BW25" s="34">
        <f t="shared" si="9"/>
        <v>1.3405</v>
      </c>
      <c r="BX25" s="34">
        <f t="shared" si="9"/>
        <v>1.4793000000000001</v>
      </c>
      <c r="BY25" s="34">
        <f t="shared" si="9"/>
        <v>3.7391999999999999</v>
      </c>
      <c r="BZ25" s="34">
        <f t="shared" si="9"/>
        <v>24.4785</v>
      </c>
      <c r="CA25" s="34">
        <f t="shared" si="9"/>
        <v>6.5373999999999999</v>
      </c>
      <c r="CB25" s="34">
        <f t="shared" si="9"/>
        <v>11.9451</v>
      </c>
      <c r="CC25" s="34">
        <f t="shared" si="9"/>
        <v>3.93275</v>
      </c>
      <c r="CD25" s="34">
        <f t="shared" si="9"/>
        <v>15.169600000000001</v>
      </c>
      <c r="CE25" s="34">
        <f t="shared" si="9"/>
        <v>21.439350000000001</v>
      </c>
      <c r="CF25" s="34">
        <f t="shared" si="9"/>
        <v>9.4706499999999991</v>
      </c>
      <c r="CG25" s="34">
        <f t="shared" si="9"/>
        <v>11.41465</v>
      </c>
      <c r="CH25" s="34">
        <f t="shared" si="9"/>
        <v>10.168749999999999</v>
      </c>
      <c r="CI25" s="34">
        <f t="shared" si="9"/>
        <v>9.9037000000000006</v>
      </c>
      <c r="CJ25" s="34">
        <f t="shared" si="9"/>
        <v>11.320399999999999</v>
      </c>
      <c r="CK25" s="34">
        <f t="shared" si="9"/>
        <v>10.757350000000001</v>
      </c>
      <c r="CL25" s="34">
        <f t="shared" si="9"/>
        <v>10.050599999999999</v>
      </c>
      <c r="CM25" s="34">
        <f t="shared" si="9"/>
        <v>11.845750000000001</v>
      </c>
      <c r="CN25" s="34">
        <f t="shared" si="9"/>
        <v>5.0885499999999997</v>
      </c>
      <c r="CO25" s="34">
        <f t="shared" si="9"/>
        <v>13.023849999999999</v>
      </c>
      <c r="CP25" s="34">
        <f t="shared" si="9"/>
        <v>8.4473000000000003</v>
      </c>
      <c r="CQ25" s="34">
        <f t="shared" si="9"/>
        <v>3.3635000000000002</v>
      </c>
      <c r="CR25" s="34">
        <f t="shared" si="9"/>
        <v>9.53735</v>
      </c>
      <c r="CS25" s="34">
        <f t="shared" si="9"/>
        <v>7.4542000000000002</v>
      </c>
      <c r="CT25" s="34">
        <f t="shared" si="9"/>
        <v>8.9526000000000003</v>
      </c>
      <c r="CU25" s="34">
        <f t="shared" si="9"/>
        <v>8.2782</v>
      </c>
      <c r="CV25" s="34">
        <f t="shared" si="9"/>
        <v>1.6042000000000001</v>
      </c>
      <c r="CW25" s="34">
        <f t="shared" si="9"/>
        <v>10.594799999999999</v>
      </c>
      <c r="CX25" s="34">
        <f t="shared" si="9"/>
        <v>8.016</v>
      </c>
      <c r="CY25" s="34">
        <f t="shared" si="9"/>
        <v>18.04824</v>
      </c>
      <c r="CZ25" s="34">
        <f t="shared" si="9"/>
        <v>12.80392</v>
      </c>
      <c r="DA25" s="34">
        <f t="shared" si="9"/>
        <v>8.1375499999999992</v>
      </c>
      <c r="DB25" s="34">
        <f t="shared" si="9"/>
        <v>0</v>
      </c>
      <c r="DC25" s="34">
        <f t="shared" si="9"/>
        <v>0</v>
      </c>
      <c r="DD25" s="34">
        <f t="shared" si="9"/>
        <v>0</v>
      </c>
      <c r="DE25" s="34">
        <f t="shared" si="9"/>
        <v>0</v>
      </c>
      <c r="DF25" s="34">
        <f t="shared" si="9"/>
        <v>0</v>
      </c>
      <c r="DG25" s="34">
        <f t="shared" si="9"/>
        <v>0</v>
      </c>
      <c r="DH25" s="34">
        <f t="shared" si="9"/>
        <v>0</v>
      </c>
      <c r="DI25" s="34">
        <f t="shared" si="9"/>
        <v>0</v>
      </c>
      <c r="DJ25" s="34">
        <f t="shared" si="9"/>
        <v>0</v>
      </c>
      <c r="DK25" s="34">
        <f t="shared" si="9"/>
        <v>0</v>
      </c>
      <c r="DL25" s="34">
        <f t="shared" si="9"/>
        <v>0</v>
      </c>
      <c r="DM25" s="35">
        <f>AVERAGE(DA25:DL25)</f>
        <v>0.67812916666666656</v>
      </c>
      <c r="DN25" s="35">
        <f>SUM(DA25:DL25)</f>
        <v>8.1375499999999992</v>
      </c>
      <c r="DO25" s="35">
        <f>AVERAGE(CO25:CZ25)</f>
        <v>9.1770133333333348</v>
      </c>
      <c r="DP25" s="35">
        <f>SUM(CO25:CZ25)</f>
        <v>110.12416000000002</v>
      </c>
      <c r="DQ25" s="36">
        <v>11.253266666666669</v>
      </c>
      <c r="DR25" s="36">
        <v>135.03920000000002</v>
      </c>
      <c r="DS25" s="36">
        <v>10.880175000000001</v>
      </c>
      <c r="DT25" s="37">
        <v>130.56210000000002</v>
      </c>
      <c r="DU25" s="37">
        <v>4.9755166666666666</v>
      </c>
      <c r="DV25" s="33">
        <v>59.706199999999995</v>
      </c>
    </row>
    <row r="26" spans="1:126">
      <c r="A26" s="26" t="s">
        <v>212</v>
      </c>
      <c r="B26" s="27">
        <v>84840</v>
      </c>
      <c r="C26" s="27">
        <v>55250</v>
      </c>
      <c r="D26" s="27">
        <v>43570</v>
      </c>
      <c r="E26" s="27">
        <v>77300</v>
      </c>
      <c r="F26" s="27">
        <v>85640</v>
      </c>
      <c r="G26" s="27">
        <v>109760</v>
      </c>
      <c r="H26" s="27">
        <v>46020</v>
      </c>
      <c r="I26" s="27">
        <v>99470</v>
      </c>
      <c r="J26" s="27">
        <v>49465</v>
      </c>
      <c r="K26" s="27">
        <v>63220</v>
      </c>
      <c r="L26" s="27">
        <v>49240</v>
      </c>
      <c r="M26" s="27">
        <v>62710</v>
      </c>
      <c r="N26" s="27">
        <v>92280</v>
      </c>
      <c r="O26" s="27">
        <v>38010</v>
      </c>
      <c r="P26" s="27">
        <v>102000</v>
      </c>
      <c r="Q26" s="27">
        <v>100730</v>
      </c>
      <c r="R26" s="27">
        <v>49410</v>
      </c>
      <c r="S26" s="28">
        <f t="shared" si="4"/>
        <v>6.4640000000000003E-2</v>
      </c>
      <c r="T26" s="28">
        <f t="shared" si="4"/>
        <v>6.4899999999999999E-2</v>
      </c>
      <c r="U26" s="28">
        <f t="shared" si="4"/>
        <v>6.4759999999999998E-2</v>
      </c>
      <c r="V26" s="28">
        <f t="shared" si="4"/>
        <v>6.5989999999999993E-2</v>
      </c>
      <c r="W26" s="28">
        <f>W19/1000</f>
        <v>42.02</v>
      </c>
      <c r="X26" s="28">
        <f t="shared" ref="X26:CI26" si="10">X19/1000</f>
        <v>73.754999999999995</v>
      </c>
      <c r="Y26" s="28">
        <f t="shared" si="10"/>
        <v>74.84</v>
      </c>
      <c r="Z26" s="28">
        <f t="shared" si="10"/>
        <v>71.900000000000006</v>
      </c>
      <c r="AA26" s="28">
        <f t="shared" si="10"/>
        <v>28.61</v>
      </c>
      <c r="AB26" s="28">
        <f t="shared" si="10"/>
        <v>98.74</v>
      </c>
      <c r="AC26" s="28">
        <f t="shared" si="10"/>
        <v>53.79</v>
      </c>
      <c r="AD26" s="28">
        <f t="shared" si="10"/>
        <v>32.06</v>
      </c>
      <c r="AE26" s="28">
        <f t="shared" si="10"/>
        <v>52.4</v>
      </c>
      <c r="AF26" s="28">
        <f t="shared" si="10"/>
        <v>87.37</v>
      </c>
      <c r="AG26" s="28">
        <f t="shared" si="10"/>
        <v>73.09</v>
      </c>
      <c r="AH26" s="28">
        <v>44.41</v>
      </c>
      <c r="AI26" s="28">
        <f>AI19/1000</f>
        <v>40.369999999999997</v>
      </c>
      <c r="AJ26" s="28">
        <f>AJ19/1000</f>
        <v>82.87</v>
      </c>
      <c r="AK26" s="28">
        <f>AK19/1000</f>
        <v>33.42</v>
      </c>
      <c r="AL26" s="28">
        <v>76.11</v>
      </c>
      <c r="AM26" s="28">
        <f>AM19/1000</f>
        <v>39.450000000000003</v>
      </c>
      <c r="AN26" s="28">
        <v>68.180000000000007</v>
      </c>
      <c r="AO26" s="28">
        <f>AO19/1000</f>
        <v>64.739999999999995</v>
      </c>
      <c r="AP26" s="28">
        <f>AP19/1000</f>
        <v>78.72</v>
      </c>
      <c r="AQ26" s="28">
        <f>AQ19/1000</f>
        <v>105.81</v>
      </c>
      <c r="AR26" s="28">
        <f t="shared" si="10"/>
        <v>113.12</v>
      </c>
      <c r="AS26" s="28">
        <f t="shared" si="10"/>
        <v>31.78</v>
      </c>
      <c r="AT26" s="28">
        <f t="shared" si="10"/>
        <v>63.17</v>
      </c>
      <c r="AU26" s="28">
        <f t="shared" si="10"/>
        <v>72.400000000000006</v>
      </c>
      <c r="AV26" s="28">
        <f t="shared" si="10"/>
        <v>46.01</v>
      </c>
      <c r="AW26" s="28">
        <f t="shared" si="10"/>
        <v>49.86</v>
      </c>
      <c r="AX26" s="28">
        <f t="shared" si="10"/>
        <v>69.84</v>
      </c>
      <c r="AY26" s="28">
        <v>46.13</v>
      </c>
      <c r="AZ26" s="28">
        <f>AZ19/1000</f>
        <v>39.619999999999997</v>
      </c>
      <c r="BA26" s="28">
        <f>BA19/1000</f>
        <v>75.2</v>
      </c>
      <c r="BB26" s="28">
        <f>BB19/1000</f>
        <v>55.65</v>
      </c>
      <c r="BC26" s="28">
        <f>BC19/1000</f>
        <v>84.94</v>
      </c>
      <c r="BD26" s="28">
        <f>BD19/1000</f>
        <v>72.069999999999993</v>
      </c>
      <c r="BE26" s="28">
        <f t="shared" si="10"/>
        <v>56.5</v>
      </c>
      <c r="BF26" s="28">
        <f t="shared" si="10"/>
        <v>57.77</v>
      </c>
      <c r="BG26" s="28">
        <f t="shared" si="10"/>
        <v>75.42</v>
      </c>
      <c r="BH26" s="28">
        <f t="shared" si="10"/>
        <v>101.37</v>
      </c>
      <c r="BI26" s="28">
        <f t="shared" si="10"/>
        <v>95.38</v>
      </c>
      <c r="BJ26" s="28">
        <f t="shared" si="10"/>
        <v>78.034999999999997</v>
      </c>
      <c r="BK26" s="28">
        <f t="shared" si="10"/>
        <v>70.685000000000002</v>
      </c>
      <c r="BL26" s="28">
        <f t="shared" si="10"/>
        <v>50.93</v>
      </c>
      <c r="BM26" s="28">
        <f t="shared" si="10"/>
        <v>67.680000000000007</v>
      </c>
      <c r="BN26" s="28">
        <f t="shared" si="10"/>
        <v>35.085000000000001</v>
      </c>
      <c r="BO26" s="28">
        <f t="shared" si="10"/>
        <v>99.36</v>
      </c>
      <c r="BP26" s="28">
        <f t="shared" si="10"/>
        <v>70.63</v>
      </c>
      <c r="BQ26" s="28">
        <f t="shared" si="10"/>
        <v>64.185000000000002</v>
      </c>
      <c r="BR26" s="28">
        <f t="shared" si="10"/>
        <v>50.39</v>
      </c>
      <c r="BS26" s="28">
        <f t="shared" si="10"/>
        <v>108.97</v>
      </c>
      <c r="BT26" s="28">
        <f t="shared" si="10"/>
        <v>50.86</v>
      </c>
      <c r="BU26" s="28">
        <f t="shared" si="10"/>
        <v>71.48</v>
      </c>
      <c r="BV26" s="28">
        <f t="shared" si="10"/>
        <v>39.4</v>
      </c>
      <c r="BW26" s="28">
        <f t="shared" si="10"/>
        <v>38.119999999999997</v>
      </c>
      <c r="BX26" s="28">
        <f t="shared" si="10"/>
        <v>63.4</v>
      </c>
      <c r="BY26" s="28">
        <f t="shared" si="10"/>
        <v>72.269000000000005</v>
      </c>
      <c r="BZ26" s="28">
        <f t="shared" si="10"/>
        <v>26.821999999999999</v>
      </c>
      <c r="CA26" s="28">
        <f t="shared" si="10"/>
        <v>66.013999999999996</v>
      </c>
      <c r="CB26" s="28">
        <f t="shared" si="10"/>
        <v>70.263000000000005</v>
      </c>
      <c r="CC26" s="28">
        <f t="shared" si="10"/>
        <v>40.771000000000001</v>
      </c>
      <c r="CD26" s="28">
        <f t="shared" si="10"/>
        <v>52.3</v>
      </c>
      <c r="CE26" s="28">
        <f t="shared" si="10"/>
        <v>53.067</v>
      </c>
      <c r="CF26" s="28">
        <f t="shared" si="10"/>
        <v>49.901000000000003</v>
      </c>
      <c r="CG26" s="28">
        <f t="shared" si="10"/>
        <v>40.82</v>
      </c>
      <c r="CH26" s="28">
        <f t="shared" si="10"/>
        <v>41.710999999999999</v>
      </c>
      <c r="CI26" s="28">
        <f t="shared" si="10"/>
        <v>44.621000000000002</v>
      </c>
      <c r="CJ26" s="28">
        <f t="shared" ref="CJ26:DL26" si="11">CJ19/1000</f>
        <v>34.661000000000001</v>
      </c>
      <c r="CK26" s="28">
        <f t="shared" si="11"/>
        <v>66.790000000000006</v>
      </c>
      <c r="CL26" s="28">
        <f t="shared" si="11"/>
        <v>49.567</v>
      </c>
      <c r="CM26" s="28">
        <f t="shared" si="11"/>
        <v>63.816000000000003</v>
      </c>
      <c r="CN26" s="28">
        <f t="shared" si="11"/>
        <v>38.061</v>
      </c>
      <c r="CO26" s="28">
        <f t="shared" si="11"/>
        <v>89.24</v>
      </c>
      <c r="CP26" s="28">
        <f t="shared" si="11"/>
        <v>54.44</v>
      </c>
      <c r="CQ26" s="28">
        <f t="shared" si="11"/>
        <v>70.733000000000004</v>
      </c>
      <c r="CR26" s="28">
        <f t="shared" si="11"/>
        <v>41.27</v>
      </c>
      <c r="CS26" s="28">
        <f t="shared" si="11"/>
        <v>45.58</v>
      </c>
      <c r="CT26" s="28">
        <f t="shared" si="11"/>
        <v>52.8</v>
      </c>
      <c r="CU26" s="28">
        <f t="shared" si="11"/>
        <v>44.24</v>
      </c>
      <c r="CV26" s="28">
        <f t="shared" si="11"/>
        <v>32.159999999999997</v>
      </c>
      <c r="CW26" s="28">
        <f t="shared" si="11"/>
        <v>47.923999999999999</v>
      </c>
      <c r="CX26" s="28">
        <f t="shared" si="11"/>
        <v>34.39</v>
      </c>
      <c r="CY26" s="28">
        <f t="shared" si="11"/>
        <v>63.74</v>
      </c>
      <c r="CZ26" s="28">
        <f t="shared" si="11"/>
        <v>67.84</v>
      </c>
      <c r="DA26" s="28">
        <f t="shared" si="11"/>
        <v>89.566000000000003</v>
      </c>
      <c r="DB26" s="28">
        <f t="shared" si="11"/>
        <v>0</v>
      </c>
      <c r="DC26" s="28">
        <f t="shared" si="11"/>
        <v>0</v>
      </c>
      <c r="DD26" s="28">
        <f t="shared" si="11"/>
        <v>0</v>
      </c>
      <c r="DE26" s="28">
        <f t="shared" si="11"/>
        <v>0</v>
      </c>
      <c r="DF26" s="28">
        <f t="shared" si="11"/>
        <v>0</v>
      </c>
      <c r="DG26" s="28">
        <f t="shared" si="11"/>
        <v>0</v>
      </c>
      <c r="DH26" s="28">
        <f t="shared" si="11"/>
        <v>0</v>
      </c>
      <c r="DI26" s="28">
        <f t="shared" si="11"/>
        <v>0</v>
      </c>
      <c r="DJ26" s="28">
        <f t="shared" si="11"/>
        <v>0</v>
      </c>
      <c r="DK26" s="28">
        <f t="shared" si="11"/>
        <v>0</v>
      </c>
      <c r="DL26" s="28">
        <f t="shared" si="11"/>
        <v>0</v>
      </c>
      <c r="DM26" s="18">
        <f>AVERAGE(DA26:DL26)</f>
        <v>7.4638333333333335</v>
      </c>
      <c r="DN26" s="18">
        <f>SUM(DA26:DL26)</f>
        <v>89.566000000000003</v>
      </c>
      <c r="DO26" s="18">
        <f>AVERAGE(CO26:CZ26)</f>
        <v>53.696416666666671</v>
      </c>
      <c r="DP26" s="18">
        <f>SUM(CO26:CZ26)</f>
        <v>644.35700000000008</v>
      </c>
      <c r="DQ26" s="38">
        <v>47.209416666666669</v>
      </c>
      <c r="DR26" s="38">
        <v>566.51300000000003</v>
      </c>
      <c r="DS26" s="30">
        <v>48.00716666666667</v>
      </c>
      <c r="DT26" s="31">
        <v>576.08600000000001</v>
      </c>
      <c r="DU26" s="31">
        <v>60.181083333333341</v>
      </c>
      <c r="DV26" s="27">
        <v>722.17300000000012</v>
      </c>
    </row>
    <row r="27" spans="1:126">
      <c r="A27" s="32" t="s">
        <v>213</v>
      </c>
      <c r="B27" s="33">
        <v>12336110</v>
      </c>
      <c r="C27" s="33">
        <v>6410700</v>
      </c>
      <c r="D27" s="33">
        <v>5841120</v>
      </c>
      <c r="E27" s="33">
        <v>10560160</v>
      </c>
      <c r="F27" s="33">
        <v>11266900</v>
      </c>
      <c r="G27" s="33">
        <v>11759510</v>
      </c>
      <c r="H27" s="33">
        <v>11759510</v>
      </c>
      <c r="I27" s="33">
        <v>13814740</v>
      </c>
      <c r="J27" s="33">
        <v>7120820</v>
      </c>
      <c r="K27" s="33">
        <v>6784620</v>
      </c>
      <c r="L27" s="33">
        <v>5877310</v>
      </c>
      <c r="M27" s="33">
        <v>10144580</v>
      </c>
      <c r="N27" s="33">
        <v>3918340</v>
      </c>
      <c r="O27" s="33">
        <v>4790750</v>
      </c>
      <c r="P27" s="33">
        <v>11932550</v>
      </c>
      <c r="Q27" s="33">
        <v>11910250</v>
      </c>
      <c r="R27" s="33">
        <v>9598450</v>
      </c>
      <c r="S27" s="34">
        <f t="shared" si="4"/>
        <v>9.3986999999999998</v>
      </c>
      <c r="T27" s="34">
        <f t="shared" si="4"/>
        <v>7.7226499999999998</v>
      </c>
      <c r="U27" s="34">
        <f t="shared" si="4"/>
        <v>7.7765500000000003</v>
      </c>
      <c r="V27" s="34">
        <f t="shared" si="4"/>
        <v>11.1754</v>
      </c>
      <c r="W27" s="34">
        <f>W20/1000000</f>
        <v>8.8058999999999994</v>
      </c>
      <c r="X27" s="34">
        <f t="shared" ref="X27:CI28" si="12">X20/1000000</f>
        <v>8.5118500000000008</v>
      </c>
      <c r="Y27" s="34">
        <f t="shared" si="12"/>
        <v>8.1118500000000004</v>
      </c>
      <c r="Z27" s="34">
        <f t="shared" si="12"/>
        <v>8.3637999999999995</v>
      </c>
      <c r="AA27" s="34">
        <f t="shared" si="12"/>
        <v>3.9268000000000001</v>
      </c>
      <c r="AB27" s="34">
        <f t="shared" si="12"/>
        <v>11.0861</v>
      </c>
      <c r="AC27" s="34">
        <f t="shared" si="12"/>
        <v>11.02215</v>
      </c>
      <c r="AD27" s="34">
        <f t="shared" si="12"/>
        <v>4.6679500000000003</v>
      </c>
      <c r="AE27" s="34">
        <f t="shared" si="12"/>
        <v>11.7651</v>
      </c>
      <c r="AF27" s="34">
        <f t="shared" si="12"/>
        <v>17.690650000000002</v>
      </c>
      <c r="AG27" s="34">
        <f t="shared" si="12"/>
        <v>17.380299999999998</v>
      </c>
      <c r="AH27" s="34">
        <v>8.8534500000000005</v>
      </c>
      <c r="AI27" s="34">
        <f t="shared" ref="AI27:AK28" si="13">AI20/1000000</f>
        <v>9.3354999999999997</v>
      </c>
      <c r="AJ27" s="34">
        <f t="shared" si="13"/>
        <v>12.639749999999999</v>
      </c>
      <c r="AK27" s="34">
        <f t="shared" si="13"/>
        <v>7.90395</v>
      </c>
      <c r="AL27" s="34">
        <v>13.57155</v>
      </c>
      <c r="AM27" s="34">
        <f>AM20/1000000</f>
        <v>8.0105000000000004</v>
      </c>
      <c r="AN27" s="34">
        <v>12.574199999999999</v>
      </c>
      <c r="AO27" s="34">
        <f t="shared" ref="AO27:AQ28" si="14">AO20/1000000</f>
        <v>15.664099999999999</v>
      </c>
      <c r="AP27" s="34">
        <f t="shared" si="14"/>
        <v>8.3388500000000008</v>
      </c>
      <c r="AQ27" s="34">
        <f t="shared" si="14"/>
        <v>26.789950000000001</v>
      </c>
      <c r="AR27" s="34">
        <f t="shared" si="12"/>
        <v>25.528099999999998</v>
      </c>
      <c r="AS27" s="34">
        <f t="shared" si="12"/>
        <v>5.5380000000000003</v>
      </c>
      <c r="AT27" s="34">
        <f t="shared" si="12"/>
        <v>11.761900000000001</v>
      </c>
      <c r="AU27" s="34">
        <f t="shared" si="12"/>
        <v>15.338699999999999</v>
      </c>
      <c r="AV27" s="34">
        <f t="shared" si="12"/>
        <v>10.05735</v>
      </c>
      <c r="AW27" s="34">
        <f t="shared" si="12"/>
        <v>9.1781000000000006</v>
      </c>
      <c r="AX27" s="34">
        <f t="shared" si="12"/>
        <v>15.0573</v>
      </c>
      <c r="AY27" s="34">
        <v>7.9172000000000002</v>
      </c>
      <c r="AZ27" s="34">
        <f t="shared" ref="AZ27:BD28" si="15">AZ20/1000000</f>
        <v>7.8437000000000001</v>
      </c>
      <c r="BA27" s="34">
        <f t="shared" si="15"/>
        <v>18.0306</v>
      </c>
      <c r="BB27" s="34">
        <f t="shared" si="15"/>
        <v>11.077299999999999</v>
      </c>
      <c r="BC27" s="34">
        <f t="shared" si="15"/>
        <v>11.4253</v>
      </c>
      <c r="BD27" s="34">
        <f t="shared" si="15"/>
        <v>17.620149999999999</v>
      </c>
      <c r="BE27" s="34">
        <f t="shared" si="12"/>
        <v>10.374000000000001</v>
      </c>
      <c r="BF27" s="34">
        <f t="shared" si="12"/>
        <v>9.8510500000000008</v>
      </c>
      <c r="BG27" s="34">
        <f t="shared" si="12"/>
        <v>15.35905</v>
      </c>
      <c r="BH27" s="34">
        <f t="shared" si="12"/>
        <v>44.103549999999998</v>
      </c>
      <c r="BI27" s="34">
        <f t="shared" si="12"/>
        <v>30.354849999999999</v>
      </c>
      <c r="BJ27" s="34">
        <f t="shared" si="12"/>
        <v>24.074999999999999</v>
      </c>
      <c r="BK27" s="34">
        <f t="shared" si="12"/>
        <v>12.950749999999999</v>
      </c>
      <c r="BL27" s="34">
        <f t="shared" si="12"/>
        <v>7.4128499999999997</v>
      </c>
      <c r="BM27" s="34">
        <f t="shared" si="12"/>
        <v>13.734400000000001</v>
      </c>
      <c r="BN27" s="34">
        <f t="shared" si="12"/>
        <v>5.0998000000000001</v>
      </c>
      <c r="BO27" s="34">
        <f t="shared" si="12"/>
        <v>23.314050000000002</v>
      </c>
      <c r="BP27" s="34">
        <f t="shared" si="12"/>
        <v>18.07255</v>
      </c>
      <c r="BQ27" s="34">
        <f t="shared" si="12"/>
        <v>10.657500000000001</v>
      </c>
      <c r="BR27" s="34">
        <f t="shared" si="12"/>
        <v>7.0281000000000002</v>
      </c>
      <c r="BS27" s="34">
        <f t="shared" si="12"/>
        <v>14.92</v>
      </c>
      <c r="BT27" s="34">
        <f t="shared" si="12"/>
        <v>8.3374500000000005</v>
      </c>
      <c r="BU27" s="34">
        <f t="shared" si="12"/>
        <v>17.712</v>
      </c>
      <c r="BV27" s="34">
        <f t="shared" si="12"/>
        <v>5.9954499999999999</v>
      </c>
      <c r="BW27" s="34">
        <f t="shared" si="12"/>
        <v>5.7423999999999999</v>
      </c>
      <c r="BX27" s="34">
        <f t="shared" si="12"/>
        <v>10.579800000000001</v>
      </c>
      <c r="BY27" s="34">
        <f t="shared" si="12"/>
        <v>13.632199999999999</v>
      </c>
      <c r="BZ27" s="34">
        <f t="shared" si="12"/>
        <v>6.2611999999999997</v>
      </c>
      <c r="CA27" s="34">
        <f t="shared" si="12"/>
        <v>12.2341</v>
      </c>
      <c r="CB27" s="34">
        <f t="shared" si="12"/>
        <v>15.442399999999999</v>
      </c>
      <c r="CC27" s="34">
        <f t="shared" si="12"/>
        <v>-5.9499000000000004</v>
      </c>
      <c r="CD27" s="34">
        <f t="shared" si="12"/>
        <v>-9.2026500000000002</v>
      </c>
      <c r="CE27" s="34">
        <f t="shared" si="12"/>
        <v>-9.5444499999999994</v>
      </c>
      <c r="CF27" s="34">
        <f t="shared" si="12"/>
        <v>-9.19285</v>
      </c>
      <c r="CG27" s="34">
        <f t="shared" si="12"/>
        <v>-7.9618500000000001</v>
      </c>
      <c r="CH27" s="34">
        <f t="shared" si="12"/>
        <v>-8.5160999999999998</v>
      </c>
      <c r="CI27" s="34">
        <f t="shared" si="12"/>
        <v>-8.4599499999999992</v>
      </c>
      <c r="CJ27" s="34">
        <f t="shared" ref="CJ27:DL28" si="16">CJ20/1000000</f>
        <v>-4.8742000000000001</v>
      </c>
      <c r="CK27" s="34">
        <f t="shared" si="16"/>
        <v>-13.85345</v>
      </c>
      <c r="CL27" s="34">
        <f t="shared" si="16"/>
        <v>-7.6714500000000001</v>
      </c>
      <c r="CM27" s="34">
        <f t="shared" si="16"/>
        <v>-11.36875</v>
      </c>
      <c r="CN27" s="34">
        <f t="shared" si="16"/>
        <v>-5.6064999999999996</v>
      </c>
      <c r="CO27" s="34">
        <f t="shared" si="16"/>
        <v>-15.8461</v>
      </c>
      <c r="CP27" s="34">
        <f t="shared" si="16"/>
        <v>-6.5878500000000004</v>
      </c>
      <c r="CQ27" s="34">
        <f t="shared" si="16"/>
        <v>-13.62025</v>
      </c>
      <c r="CR27" s="34">
        <f t="shared" si="16"/>
        <v>-7.7103999999999999</v>
      </c>
      <c r="CS27" s="34">
        <f t="shared" si="16"/>
        <v>-8.6738499999999998</v>
      </c>
      <c r="CT27" s="34">
        <f t="shared" si="16"/>
        <v>-9.2888999999999999</v>
      </c>
      <c r="CU27" s="34">
        <f t="shared" si="16"/>
        <v>-8.0919500000000006</v>
      </c>
      <c r="CV27" s="34">
        <f t="shared" si="16"/>
        <v>-6.3304</v>
      </c>
      <c r="CW27" s="34">
        <f t="shared" si="16"/>
        <v>-7.3860999999999999</v>
      </c>
      <c r="CX27" s="34">
        <f t="shared" si="16"/>
        <v>-4.5063000000000004</v>
      </c>
      <c r="CY27" s="34">
        <f t="shared" si="16"/>
        <v>-11.399749999999999</v>
      </c>
      <c r="CZ27" s="34">
        <f t="shared" si="16"/>
        <v>-11.1708</v>
      </c>
      <c r="DA27" s="34">
        <f t="shared" si="16"/>
        <v>-11.28045</v>
      </c>
      <c r="DB27" s="34">
        <f t="shared" si="16"/>
        <v>0</v>
      </c>
      <c r="DC27" s="34">
        <f t="shared" si="16"/>
        <v>0</v>
      </c>
      <c r="DD27" s="34">
        <f t="shared" si="16"/>
        <v>0</v>
      </c>
      <c r="DE27" s="34">
        <f t="shared" si="16"/>
        <v>0</v>
      </c>
      <c r="DF27" s="34">
        <f t="shared" si="16"/>
        <v>0</v>
      </c>
      <c r="DG27" s="34">
        <f t="shared" si="16"/>
        <v>0</v>
      </c>
      <c r="DH27" s="34">
        <f t="shared" si="16"/>
        <v>0</v>
      </c>
      <c r="DI27" s="34">
        <f t="shared" si="16"/>
        <v>0</v>
      </c>
      <c r="DJ27" s="34">
        <f t="shared" si="16"/>
        <v>0</v>
      </c>
      <c r="DK27" s="34">
        <f t="shared" si="16"/>
        <v>0</v>
      </c>
      <c r="DL27" s="34">
        <f t="shared" si="16"/>
        <v>0</v>
      </c>
      <c r="DM27" s="35">
        <f>AVERAGE(DA27:DL27)</f>
        <v>-0.94003749999999997</v>
      </c>
      <c r="DN27" s="35">
        <f>SUM(DA27:DL27)</f>
        <v>-11.28045</v>
      </c>
      <c r="DO27" s="35">
        <f>AVERAGE(CO27:CZ27)</f>
        <v>-9.2177208333333329</v>
      </c>
      <c r="DP27" s="35">
        <f>SUM(CO27:CZ27)</f>
        <v>-110.61264999999999</v>
      </c>
      <c r="DQ27" s="36">
        <v>-7.8403583333333335</v>
      </c>
      <c r="DR27" s="36">
        <v>-94.084299999999999</v>
      </c>
      <c r="DS27" s="36">
        <v>-8.516841666666668</v>
      </c>
      <c r="DT27" s="37">
        <v>-102.20210000000002</v>
      </c>
      <c r="DU27" s="37">
        <v>10.711883333333335</v>
      </c>
      <c r="DV27" s="33">
        <v>128.54260000000002</v>
      </c>
    </row>
    <row r="28" spans="1:126">
      <c r="A28" s="32" t="s">
        <v>214</v>
      </c>
      <c r="B28" s="33">
        <v>-7029010</v>
      </c>
      <c r="C28" s="33">
        <v>-3585000</v>
      </c>
      <c r="D28" s="33">
        <v>-4901920</v>
      </c>
      <c r="E28" s="33">
        <v>-5025260</v>
      </c>
      <c r="F28" s="33">
        <v>-7711800</v>
      </c>
      <c r="G28" s="33">
        <v>-8458410</v>
      </c>
      <c r="H28" s="33">
        <v>-9264310</v>
      </c>
      <c r="I28" s="33">
        <v>-10629820</v>
      </c>
      <c r="J28" s="33">
        <v>-5572920</v>
      </c>
      <c r="K28" s="33">
        <v>-3774020</v>
      </c>
      <c r="L28" s="33">
        <v>-3315910</v>
      </c>
      <c r="M28" s="33">
        <v>-7938980</v>
      </c>
      <c r="N28" s="33">
        <v>-1084900</v>
      </c>
      <c r="O28" s="33">
        <v>-1635950</v>
      </c>
      <c r="P28" s="33">
        <v>-7993050</v>
      </c>
      <c r="Q28" s="33">
        <v>-6782210</v>
      </c>
      <c r="R28" s="33">
        <v>-7081150</v>
      </c>
      <c r="S28" s="34">
        <f t="shared" si="4"/>
        <v>-5.4919000000000002</v>
      </c>
      <c r="T28" s="34">
        <f t="shared" si="4"/>
        <v>-5.3356500000000002</v>
      </c>
      <c r="U28" s="34">
        <f t="shared" si="4"/>
        <v>-2.8437700000000001</v>
      </c>
      <c r="V28" s="34">
        <f t="shared" si="4"/>
        <v>-8.4924999999999997</v>
      </c>
      <c r="W28" s="34">
        <f>W21/1000000</f>
        <v>-1.7878000000000001</v>
      </c>
      <c r="X28" s="34">
        <f t="shared" si="12"/>
        <v>-5.4178499999999996</v>
      </c>
      <c r="Y28" s="34">
        <f t="shared" si="12"/>
        <v>-2.4233500000000001</v>
      </c>
      <c r="Z28" s="34">
        <f t="shared" si="12"/>
        <v>-1.9415</v>
      </c>
      <c r="AA28" s="34">
        <f t="shared" si="12"/>
        <v>0.70279999999999998</v>
      </c>
      <c r="AB28" s="34">
        <f t="shared" si="12"/>
        <v>-5.7228000000000003</v>
      </c>
      <c r="AC28" s="34">
        <f t="shared" si="12"/>
        <v>-8.3017500000000002</v>
      </c>
      <c r="AD28" s="34">
        <f t="shared" si="12"/>
        <v>2.94543</v>
      </c>
      <c r="AE28" s="34">
        <f t="shared" si="12"/>
        <v>-6.8575999999999997</v>
      </c>
      <c r="AF28" s="34">
        <f t="shared" si="12"/>
        <v>-12.230650000000001</v>
      </c>
      <c r="AG28" s="34">
        <f t="shared" si="12"/>
        <v>-11.8649</v>
      </c>
      <c r="AH28" s="34">
        <v>-5.2289500000000002</v>
      </c>
      <c r="AI28" s="34">
        <f t="shared" si="13"/>
        <v>-5.6359000000000004</v>
      </c>
      <c r="AJ28" s="34">
        <f t="shared" si="13"/>
        <v>-2.4695499999999999</v>
      </c>
      <c r="AK28" s="34">
        <f t="shared" si="13"/>
        <v>-3.7798500000000002</v>
      </c>
      <c r="AL28" s="34">
        <v>-9.2344500000000007</v>
      </c>
      <c r="AM28" s="34">
        <f>AM21/1000000</f>
        <v>0.4556</v>
      </c>
      <c r="AN28" s="34">
        <v>-6.4377000000000004</v>
      </c>
      <c r="AO28" s="34">
        <f t="shared" si="14"/>
        <v>-7.2717999999999998</v>
      </c>
      <c r="AP28" s="34">
        <f t="shared" si="14"/>
        <v>-0.81215000000000004</v>
      </c>
      <c r="AQ28" s="34">
        <f t="shared" si="14"/>
        <v>-18.271450000000002</v>
      </c>
      <c r="AR28" s="34">
        <f t="shared" si="12"/>
        <v>-19.247199999999999</v>
      </c>
      <c r="AS28" s="34">
        <f>AS21/1000000</f>
        <v>-0.41160000000000002</v>
      </c>
      <c r="AT28" s="34">
        <f t="shared" si="12"/>
        <v>-6.2766999999999999</v>
      </c>
      <c r="AU28" s="34">
        <f t="shared" si="12"/>
        <v>-9.3833000000000002</v>
      </c>
      <c r="AV28" s="34">
        <f t="shared" si="12"/>
        <v>-3.9410500000000002</v>
      </c>
      <c r="AW28" s="34">
        <f t="shared" si="12"/>
        <v>-5.3345000000000002</v>
      </c>
      <c r="AX28" s="34">
        <f t="shared" si="12"/>
        <v>-9.3482000000000003</v>
      </c>
      <c r="AY28" s="34">
        <v>-3.1107</v>
      </c>
      <c r="AZ28" s="34">
        <f t="shared" si="15"/>
        <v>-4.4832000000000001</v>
      </c>
      <c r="BA28" s="34">
        <f t="shared" si="15"/>
        <v>-11.141500000000001</v>
      </c>
      <c r="BB28" s="34">
        <f t="shared" si="15"/>
        <v>-3.2088999999999999</v>
      </c>
      <c r="BC28" s="34">
        <f t="shared" si="15"/>
        <v>-5.2507000000000001</v>
      </c>
      <c r="BD28" s="34">
        <f t="shared" si="15"/>
        <v>-10.46625</v>
      </c>
      <c r="BE28" s="34">
        <f t="shared" si="12"/>
        <v>-7.7900999999999998</v>
      </c>
      <c r="BF28" s="34">
        <f>BF21/1000000</f>
        <v>-7.7085499999999998</v>
      </c>
      <c r="BG28" s="34">
        <f>BG21/1000000</f>
        <v>-12.587949999999999</v>
      </c>
      <c r="BH28" s="34">
        <f>BH21/1000000</f>
        <v>-40.025649999999999</v>
      </c>
      <c r="BI28" s="34">
        <f>BI21/1000000</f>
        <v>-27.588850000000001</v>
      </c>
      <c r="BJ28" s="34">
        <f>BJ21/1000000</f>
        <v>-20.5107</v>
      </c>
      <c r="BK28" s="34">
        <f t="shared" si="12"/>
        <v>-9.5842500000000008</v>
      </c>
      <c r="BL28" s="34">
        <f t="shared" si="12"/>
        <v>-5.35785</v>
      </c>
      <c r="BM28" s="34">
        <f t="shared" si="12"/>
        <v>-11.8078</v>
      </c>
      <c r="BN28" s="34">
        <f t="shared" si="12"/>
        <v>-2.19</v>
      </c>
      <c r="BO28" s="34">
        <f t="shared" si="12"/>
        <v>-21.269449999999999</v>
      </c>
      <c r="BP28" s="34">
        <f t="shared" si="12"/>
        <v>-14.98115</v>
      </c>
      <c r="BQ28" s="34">
        <f t="shared" si="12"/>
        <v>-8.7727000000000004</v>
      </c>
      <c r="BR28" s="34">
        <f t="shared" si="12"/>
        <v>-5.2507000000000001</v>
      </c>
      <c r="BS28" s="34">
        <f t="shared" si="12"/>
        <v>-12.9847</v>
      </c>
      <c r="BT28" s="34">
        <f t="shared" si="12"/>
        <v>-7.1865500000000004</v>
      </c>
      <c r="BU28" s="34">
        <f t="shared" si="12"/>
        <v>-16.157299999999999</v>
      </c>
      <c r="BV28" s="34">
        <f t="shared" si="12"/>
        <v>-4.1123500000000002</v>
      </c>
      <c r="BW28" s="34">
        <f t="shared" si="12"/>
        <v>-4.4019000000000004</v>
      </c>
      <c r="BX28" s="34">
        <f t="shared" si="12"/>
        <v>-9.1005000000000003</v>
      </c>
      <c r="BY28" s="34">
        <f t="shared" si="12"/>
        <v>-9.8930000000000007</v>
      </c>
      <c r="BZ28" s="34">
        <f t="shared" si="12"/>
        <v>18.217300000000002</v>
      </c>
      <c r="CA28" s="34">
        <f t="shared" si="12"/>
        <v>-5.6966999999999999</v>
      </c>
      <c r="CB28" s="34">
        <f t="shared" si="12"/>
        <v>-3.4973000000000001</v>
      </c>
      <c r="CC28" s="34">
        <f t="shared" si="12"/>
        <v>-2.01715</v>
      </c>
      <c r="CD28" s="34">
        <f t="shared" si="12"/>
        <v>5.9669499999999998</v>
      </c>
      <c r="CE28" s="34">
        <f t="shared" si="12"/>
        <v>11.8949</v>
      </c>
      <c r="CF28" s="34">
        <f t="shared" si="12"/>
        <v>0.27779999999999999</v>
      </c>
      <c r="CG28" s="34">
        <f t="shared" si="12"/>
        <v>3.4527999999999999</v>
      </c>
      <c r="CH28" s="34">
        <f t="shared" si="12"/>
        <v>1.65265</v>
      </c>
      <c r="CI28" s="34">
        <f t="shared" si="12"/>
        <v>1.4437500000000001</v>
      </c>
      <c r="CJ28" s="34">
        <f t="shared" si="16"/>
        <v>6.4462000000000002</v>
      </c>
      <c r="CK28" s="34">
        <f t="shared" si="16"/>
        <v>-3.0960999999999999</v>
      </c>
      <c r="CL28" s="34">
        <f t="shared" si="16"/>
        <v>2.3791500000000001</v>
      </c>
      <c r="CM28" s="34">
        <f t="shared" si="16"/>
        <v>0.47699999999999998</v>
      </c>
      <c r="CN28" s="34">
        <f t="shared" si="16"/>
        <v>-0.51795000000000002</v>
      </c>
      <c r="CO28" s="34">
        <f t="shared" si="16"/>
        <v>-2.8222499999999999</v>
      </c>
      <c r="CP28" s="34">
        <f t="shared" si="16"/>
        <v>1.85945</v>
      </c>
      <c r="CQ28" s="34">
        <f t="shared" si="16"/>
        <v>-10.25675</v>
      </c>
      <c r="CR28" s="34">
        <f t="shared" si="16"/>
        <v>1.8269500000000001</v>
      </c>
      <c r="CS28" s="34">
        <f t="shared" si="16"/>
        <v>-1.2196499999999999</v>
      </c>
      <c r="CT28" s="34">
        <f t="shared" si="16"/>
        <v>-0.33629999999999999</v>
      </c>
      <c r="CU28" s="34">
        <f t="shared" si="16"/>
        <v>0.18625</v>
      </c>
      <c r="CV28" s="34">
        <f t="shared" si="16"/>
        <v>-4.7262000000000004</v>
      </c>
      <c r="CW28" s="34">
        <f t="shared" si="16"/>
        <v>3.2086999999999999</v>
      </c>
      <c r="CX28" s="34">
        <f t="shared" si="16"/>
        <v>3.5097</v>
      </c>
      <c r="CY28" s="34">
        <f t="shared" si="16"/>
        <v>6.6484899999999998</v>
      </c>
      <c r="CZ28" s="34">
        <f t="shared" si="16"/>
        <v>1.6331199999999999</v>
      </c>
      <c r="DA28" s="34">
        <f t="shared" si="16"/>
        <v>-3.1429</v>
      </c>
      <c r="DB28" s="34">
        <f t="shared" si="16"/>
        <v>0</v>
      </c>
      <c r="DC28" s="34">
        <f t="shared" si="16"/>
        <v>0</v>
      </c>
      <c r="DD28" s="34">
        <f t="shared" si="16"/>
        <v>0</v>
      </c>
      <c r="DE28" s="34">
        <f t="shared" si="16"/>
        <v>0</v>
      </c>
      <c r="DF28" s="34">
        <f t="shared" si="16"/>
        <v>0</v>
      </c>
      <c r="DG28" s="34">
        <f t="shared" si="16"/>
        <v>0</v>
      </c>
      <c r="DH28" s="34">
        <f t="shared" si="16"/>
        <v>0</v>
      </c>
      <c r="DI28" s="34">
        <f t="shared" si="16"/>
        <v>0</v>
      </c>
      <c r="DJ28" s="34">
        <f t="shared" si="16"/>
        <v>0</v>
      </c>
      <c r="DK28" s="34">
        <f t="shared" si="16"/>
        <v>0</v>
      </c>
      <c r="DL28" s="34">
        <f t="shared" si="16"/>
        <v>0</v>
      </c>
      <c r="DM28" s="35">
        <f>AVERAGE(DA28:DL28)</f>
        <v>-0.26190833333333335</v>
      </c>
      <c r="DN28" s="35">
        <f>SUM(DA28:DL28)</f>
        <v>-3.1429</v>
      </c>
      <c r="DO28" s="35">
        <f>AVERAGE(CO28:CZ28)</f>
        <v>-4.0707499999999973E-2</v>
      </c>
      <c r="DP28" s="35">
        <f>SUM(CO28:CZ28)</f>
        <v>-0.48848999999999965</v>
      </c>
      <c r="DQ28" s="36">
        <v>3.4129083333333328</v>
      </c>
      <c r="DR28" s="36">
        <v>40.954899999999995</v>
      </c>
      <c r="DS28" s="36">
        <v>2.3633333333333337</v>
      </c>
      <c r="DT28" s="37">
        <v>28.360000000000003</v>
      </c>
      <c r="DU28" s="37">
        <v>-5.7363666666666653</v>
      </c>
      <c r="DV28" s="33">
        <v>-68.836399999999983</v>
      </c>
    </row>
    <row r="47" spans="126:126" ht="14.25" thickBot="1"/>
    <row r="48" spans="126:126" ht="20.100000000000001" customHeight="1" thickBot="1">
      <c r="DV48" s="39" t="s">
        <v>72</v>
      </c>
    </row>
    <row r="49" spans="126:126" ht="20.100000000000001" customHeight="1" thickTop="1">
      <c r="DV49" s="40" t="s">
        <v>215</v>
      </c>
    </row>
    <row r="50" spans="126:126" ht="20.100000000000001" customHeight="1">
      <c r="DV50" s="41" t="s">
        <v>28</v>
      </c>
    </row>
    <row r="51" spans="126:126" ht="20.100000000000001" customHeight="1">
      <c r="DV51" s="41" t="s">
        <v>1</v>
      </c>
    </row>
    <row r="52" spans="126:126" ht="20.100000000000001" customHeight="1">
      <c r="DV52" s="41" t="s">
        <v>2</v>
      </c>
    </row>
    <row r="53" spans="126:126" ht="20.100000000000001" customHeight="1" thickBot="1">
      <c r="DV53" s="42" t="s">
        <v>185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부산물 페기물 처리현황</vt:lpstr>
      <vt:lpstr>그래프</vt:lpstr>
      <vt:lpstr>그래프!Print_Area</vt:lpstr>
      <vt:lpstr>'부산물 페기물 처리현황'!Print_Area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이호준</dc:creator>
  <cp:lastModifiedBy>한가람</cp:lastModifiedBy>
  <dcterms:created xsi:type="dcterms:W3CDTF">2025-12-19T01:42:12Z</dcterms:created>
  <dcterms:modified xsi:type="dcterms:W3CDTF">2026-03-23T04:49:47Z</dcterms:modified>
</cp:coreProperties>
</file>